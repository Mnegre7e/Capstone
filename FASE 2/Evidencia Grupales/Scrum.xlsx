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Índice" sheetId="1" r:id="rId4"/>
    <sheet state="visible" name="G1 Squad" sheetId="2" r:id="rId5"/>
    <sheet state="visible" name="G2 Épicas" sheetId="3" r:id="rId6"/>
    <sheet state="visible" name="G3 Historias de usuario" sheetId="4" r:id="rId7"/>
    <sheet state="visible" name="G4 Product Backlog" sheetId="5" r:id="rId8"/>
    <sheet state="visible" name="G5 Estimación" sheetId="6" r:id="rId9"/>
    <sheet state="visible" name="G6 Entregables" sheetId="7" r:id="rId10"/>
    <sheet state="visible" name="G7 Story Map" sheetId="8" r:id="rId11"/>
    <sheet state="visible" name="G8 Releases" sheetId="9" r:id="rId12"/>
    <sheet state="visible" name="H1 Sprints" sheetId="10" r:id="rId13"/>
    <sheet state="visible" name="H2 Definition of Done" sheetId="11" r:id="rId14"/>
    <sheet state="visible" name="H3 Sprint 1" sheetId="12" r:id="rId15"/>
    <sheet state="visible" name="H4 Sprint 2" sheetId="13" r:id="rId16"/>
    <sheet state="visible" name="H5 Sprint 3" sheetId="14" r:id="rId17"/>
    <sheet state="visible" name="H6 Scrum Board" sheetId="15" r:id="rId18"/>
    <sheet state="visible" name="H7 Daily" sheetId="16" r:id="rId19"/>
    <sheet state="visible" name="H8 Impediment Log" sheetId="17" r:id="rId20"/>
    <sheet state="visible" name="H9 Evidencias" sheetId="18" r:id="rId21"/>
    <sheet state="visible" name="H10 Review y feedback" sheetId="19" r:id="rId22"/>
    <sheet state="visible" name="H11 Retrospectivas" sheetId="20" r:id="rId23"/>
    <sheet state="visible" name="H12 Sprint 4" sheetId="21" r:id="rId24"/>
    <sheet state="visible" name="H13 Sprint 5" sheetId="22" r:id="rId25"/>
    <sheet state="visible" name="H14 Sprint 6" sheetId="23" r:id="rId26"/>
    <sheet state="visible" name="H15 Sprint 7" sheetId="24" r:id="rId27"/>
    <sheet state="visible" name="I1 Plan de pruebas" sheetId="25" r:id="rId28"/>
    <sheet state="visible" name="I2 Casos de prueba" sheetId="26" r:id="rId29"/>
    <sheet state="visible" name="I3 Pruebas funcionales" sheetId="27" r:id="rId30"/>
    <sheet state="visible" name="I4 No funcionales" sheetId="28" r:id="rId31"/>
    <sheet state="visible" name="I5 Defectos" sheetId="29" r:id="rId32"/>
  </sheets>
  <definedNames>
    <definedName hidden="1" localSheetId="25" name="_xlnm._FilterDatabase">'I2 Casos de prueba'!$A$4:$M$28</definedName>
  </definedNames>
  <calcPr/>
  <extLst>
    <ext uri="GoogleSheetsCustomDataVersion2">
      <go:sheetsCustomData xmlns:go="http://customooxmlschemas.google.com/" r:id="rId33" roundtripDataChecksum="BUyE2eWYfbTyn3lteH5wvGiv6eNcZPA2637tOg7/0Ig="/>
    </ext>
  </extLst>
</workbook>
</file>

<file path=xl/sharedStrings.xml><?xml version="1.0" encoding="utf-8"?>
<sst xmlns="http://schemas.openxmlformats.org/spreadsheetml/2006/main" count="2476" uniqueCount="1403">
  <si>
    <t>HouseGreen · Planificación ágil, sprints y pruebas</t>
  </si>
  <si>
    <t>Squad y responsabilidades</t>
  </si>
  <si>
    <t>Épicas</t>
  </si>
  <si>
    <t>Sección</t>
  </si>
  <si>
    <t>Hoja</t>
  </si>
  <si>
    <t>Contenido</t>
  </si>
  <si>
    <t>Integrante</t>
  </si>
  <si>
    <t>ID</t>
  </si>
  <si>
    <t>G</t>
  </si>
  <si>
    <t>Rol Scrum</t>
  </si>
  <si>
    <t>Épica</t>
  </si>
  <si>
    <t>Responsabilidades</t>
  </si>
  <si>
    <t>Descripción</t>
  </si>
  <si>
    <t>RF</t>
  </si>
  <si>
    <t>Dedicación
(h por semana)</t>
  </si>
  <si>
    <t>Entregables</t>
  </si>
  <si>
    <t>G1 Squad</t>
  </si>
  <si>
    <t>Priorización</t>
  </si>
  <si>
    <t>Historias</t>
  </si>
  <si>
    <t>Matías Negrete</t>
  </si>
  <si>
    <t>Puntos</t>
  </si>
  <si>
    <t>E1</t>
  </si>
  <si>
    <t>Acceso y seguridad</t>
  </si>
  <si>
    <t>Product Owner (documentación)</t>
  </si>
  <si>
    <t>El usuario se registra, inicia sesión y recupera su acceso; el administrador entra con segundo factor; cada rol ve solo lo que le corresponde y las acciones críticas quedan auditadas.</t>
  </si>
  <si>
    <t>RF-01, 02, 03</t>
  </si>
  <si>
    <t>Define y ordena el Product Backlog según el valor para el inversionista; redacta los criterios de aceptación; acepta o rechaza cada incremento en la Sprint Review (A/R); hace la documentación del proyecto (informe, prototipo, procesos, vistas 4+1 y documentos de dirección) y creó la base de datos junto a José Pizarro.</t>
  </si>
  <si>
    <t>4, 5, 17</t>
  </si>
  <si>
    <t>Integrantes, roles Scrum, responsabilidades y capacidad; ceremonias y artefactos</t>
  </si>
  <si>
    <t>Historias de usuario</t>
  </si>
  <si>
    <t>José Pizarro</t>
  </si>
  <si>
    <t>G2 Épicas</t>
  </si>
  <si>
    <t>Scrum Master (web y backend)</t>
  </si>
  <si>
    <t>Facilita el Sprint Planning, la Daily, la Review y la Retrospective; mantiene el tablero, el burndown y el registro de impedimentos. Desarrolla la página web, la API, la carga automática de remates (scrapeo) y la conexión de la base de datos con la página; creó la base de datos junto a Matías Negrete.</t>
  </si>
  <si>
    <t>Enunciado de la historia</t>
  </si>
  <si>
    <t>Épicas con descripción, priorización, historias y puntos</t>
  </si>
  <si>
    <t>G3 Historias de usuario</t>
  </si>
  <si>
    <t>Historias de usuario en la plantilla: enunciado y criterios de aceptación por escenario</t>
  </si>
  <si>
    <t>G4 Product Backlog</t>
  </si>
  <si>
    <t>Basthian Bascuñan</t>
  </si>
  <si>
    <t>Criterios de aceptación</t>
  </si>
  <si>
    <t>Product Backlog priorizado por valor, urgencia y esfuerzo</t>
  </si>
  <si>
    <t>Development Team (aplicación móvil)</t>
  </si>
  <si>
    <t>Construye y prueba la aplicación móvil del inversionista (front-end terminado el 03-10-2026) y su conexión con la API en Android Studio; estima las historias y propone mejoras técnicas.</t>
  </si>
  <si>
    <t>G5 Estimación</t>
  </si>
  <si>
    <t>Capacidad del equipo por semana (h)</t>
  </si>
  <si>
    <t>Patrón de comparación para estimar y capacidad del equipo</t>
  </si>
  <si>
    <t>ID de la historia</t>
  </si>
  <si>
    <t>G6 Entregables</t>
  </si>
  <si>
    <t>Rol</t>
  </si>
  <si>
    <t>Entregables formales con su release y estado</t>
  </si>
  <si>
    <t xml:space="preserve"> Funcionalidad</t>
  </si>
  <si>
    <t xml:space="preserve"> Resultado</t>
  </si>
  <si>
    <t>N.º de escenario</t>
  </si>
  <si>
    <t>Criterio de aceptación (título)</t>
  </si>
  <si>
    <t>G7 Story Map</t>
  </si>
  <si>
    <t>E2</t>
  </si>
  <si>
    <t>Contexto</t>
  </si>
  <si>
    <t>Evento</t>
  </si>
  <si>
    <t xml:space="preserve"> Comportamiento esperado</t>
  </si>
  <si>
    <t>User Story Map por actividad y release</t>
  </si>
  <si>
    <t>Propiedades y búsqueda</t>
  </si>
  <si>
    <t>HU-01
(E1 · 5 pts)</t>
  </si>
  <si>
    <t>El inversionista ve el catálogo de remates vigentes, abre la ficha de cada propiedad y filtra por comuna, precio, tipo y zona.</t>
  </si>
  <si>
    <t>G8 Releases</t>
  </si>
  <si>
    <t>RF-04, 05, 06</t>
  </si>
  <si>
    <t>1, 6</t>
  </si>
  <si>
    <t>Release Planning</t>
  </si>
  <si>
    <t>Inversionista</t>
  </si>
  <si>
    <t>H</t>
  </si>
  <si>
    <t>H1 Sprints</t>
  </si>
  <si>
    <t>Registrarme e iniciar sesión con correo y contraseña</t>
  </si>
  <si>
    <t>Calendario de los 7 sprints (un ciclo por sprint) y horas por integrante</t>
  </si>
  <si>
    <t>Acceder de forma segura a la plataforma</t>
  </si>
  <si>
    <t>H2 Definition of Done</t>
  </si>
  <si>
    <t>Registro válido</t>
  </si>
  <si>
    <t>Definition of Done</t>
  </si>
  <si>
    <t>El correo no está registrado</t>
  </si>
  <si>
    <t>Cuando envío el formulario con un correo válido y una contraseña de 8 o más caracteres</t>
  </si>
  <si>
    <t>Se crea la cuenta con rol inversionista y la contraseña se guarda cifrada con bcrypt</t>
  </si>
  <si>
    <t>H3 Sprint 1</t>
  </si>
  <si>
    <t>Responsabilidades por ceremonia y artefacto</t>
  </si>
  <si>
    <t>Sprint 1 (Documentación fase 1): backlog, avance día a día y burndown</t>
  </si>
  <si>
    <t>Correo ya registrado</t>
  </si>
  <si>
    <t>Existe una cuenta con ese correo</t>
  </si>
  <si>
    <t>Cuando intento registrarme</t>
  </si>
  <si>
    <t>E3</t>
  </si>
  <si>
    <t>H4 Sprint 2</t>
  </si>
  <si>
    <t>El sistema rechaza el registro con un mensaje claro y no crea otra cuenta</t>
  </si>
  <si>
    <t>Ceremonia o artefacto</t>
  </si>
  <si>
    <t>Motor de reglas y semáforo</t>
  </si>
  <si>
    <t>Cuándo</t>
  </si>
  <si>
    <t>Cada propiedad recibe su semáforo de forma automática, con la justificación factor por factor, reglas de veto y registro de cada evaluación.</t>
  </si>
  <si>
    <t>RF-08, 09, 10</t>
  </si>
  <si>
    <t>Resultado esperado</t>
  </si>
  <si>
    <t>Sprint 2 (Front-end móvil): backlog, avance día a día y burndown</t>
  </si>
  <si>
    <t>8, 9, 10</t>
  </si>
  <si>
    <t>Responsable</t>
  </si>
  <si>
    <t>Contraseña incorrecta</t>
  </si>
  <si>
    <t>H5 Sprint 3</t>
  </si>
  <si>
    <t>Tengo una cuenta creada</t>
  </si>
  <si>
    <t>Participan</t>
  </si>
  <si>
    <t>Cuando inicio sesión con una contraseña errónea</t>
  </si>
  <si>
    <t>Responde 401 con un mensaje genérico, sin revelar si el correo existe</t>
  </si>
  <si>
    <t>Sprint Planning</t>
  </si>
  <si>
    <t>Primer día del sprint · 1 h</t>
  </si>
  <si>
    <t>Sprint 3 (Complemento): backlog, avance día a día y burndown</t>
  </si>
  <si>
    <t>Sprint Goal, historias comprometidas y tareas estimadas</t>
  </si>
  <si>
    <t>Todo el equipo</t>
  </si>
  <si>
    <t>HU-02
(E2 · 5 pts)</t>
  </si>
  <si>
    <t>H6 Scrum Board</t>
  </si>
  <si>
    <t>Daily Meeting</t>
  </si>
  <si>
    <t>Cada día · 15 min</t>
  </si>
  <si>
    <t>Avance, plan del día y bloqueos (pasan al Impediment Log)</t>
  </si>
  <si>
    <t>Scrum Board de los sprints en curso</t>
  </si>
  <si>
    <t>Refinamiento del backlog</t>
  </si>
  <si>
    <t>Una vez por semana · 30 min</t>
  </si>
  <si>
    <t>Historias con criterios de aceptación y estimación</t>
  </si>
  <si>
    <t>H7 Daily</t>
  </si>
  <si>
    <t>Ver el catálogo de remates vigentes</t>
  </si>
  <si>
    <t>Registro de Daily Meetings (24-09 al 13-10)</t>
  </si>
  <si>
    <t>Sprint Review</t>
  </si>
  <si>
    <t>Último día del sprint · 45 min</t>
  </si>
  <si>
    <t>Incremento aceptado o rechazado (A/R) y backlog ajustado</t>
  </si>
  <si>
    <t>Equipo, docente y usuarios invitados</t>
  </si>
  <si>
    <t>H8 Impediment Log</t>
  </si>
  <si>
    <t>Conocer las oportunidades disponibles</t>
  </si>
  <si>
    <t>E4</t>
  </si>
  <si>
    <t>Retrospective</t>
  </si>
  <si>
    <t>Último día del sprint · 30 min</t>
  </si>
  <si>
    <t>Seguimiento y alertas</t>
  </si>
  <si>
    <t>Tres mejoras concretas para el sprint siguiente</t>
  </si>
  <si>
    <t>El inversionista guarda propiedades, crea filtros y recibe alertas cuando aparece una oportunidad o cambia una que sigue.</t>
  </si>
  <si>
    <t>Impediment Log</t>
  </si>
  <si>
    <t>RF-07, 11, 12</t>
  </si>
  <si>
    <t>Product Backlog</t>
  </si>
  <si>
    <t>Continuo</t>
  </si>
  <si>
    <t>11, 13</t>
  </si>
  <si>
    <t>Orden por valor, urgencia y esfuerzo</t>
  </si>
  <si>
    <t>Remates vigentes</t>
  </si>
  <si>
    <t>Hay propiedades activas</t>
  </si>
  <si>
    <t>H9 Evidencias</t>
  </si>
  <si>
    <t>Cuando abro el catálogo</t>
  </si>
  <si>
    <t>Sprint Backlog, Scrum Board y Burndown</t>
  </si>
  <si>
    <t>Se actualizan cada día</t>
  </si>
  <si>
    <t>Veo cada propiedad con comuna, tipo, precio mínimo, fecha del remate, zona y puntaje del semáforo</t>
  </si>
  <si>
    <t>Avance visible del sprint</t>
  </si>
  <si>
    <t>Evidencias técnicas por sprint</t>
  </si>
  <si>
    <t>En cada tarea e historia</t>
  </si>
  <si>
    <t>Calidad pareja del incremento</t>
  </si>
  <si>
    <t>H10 Review y feedback</t>
  </si>
  <si>
    <t>Sin remates</t>
  </si>
  <si>
    <t>No hay propiedades activas</t>
  </si>
  <si>
    <t>Incremento (código y pruebas)</t>
  </si>
  <si>
    <t>Cada sprint</t>
  </si>
  <si>
    <t>Software que cumple la Definition of Done</t>
  </si>
  <si>
    <t>Veo el mensaje «No hay remates vigentes», sin errores</t>
  </si>
  <si>
    <t>Sprint Review y feedback del mandante y usuarios</t>
  </si>
  <si>
    <t>H11 Retrospectivas</t>
  </si>
  <si>
    <t>Remate terminado</t>
  </si>
  <si>
    <t>La propiedad ya fue rematada o su fecha pasó</t>
  </si>
  <si>
    <t>La propiedad no aparece entre las vigentes</t>
  </si>
  <si>
    <t>José Pizarro y Basthian Bascuñan</t>
  </si>
  <si>
    <t>Matías Negrete (valida)</t>
  </si>
  <si>
    <t>Retrospectivas (aciertos, errores y mejoras)</t>
  </si>
  <si>
    <t>HU-03
(E3 · 8 pts)</t>
  </si>
  <si>
    <t>E5</t>
  </si>
  <si>
    <t>Ingesta de datos</t>
  </si>
  <si>
    <t>H12 Sprint 4</t>
  </si>
  <si>
    <t>Los remates se cargan solos desde rematesinmobiliarios.cl, se validan y se normalizan, sin duplicados.</t>
  </si>
  <si>
    <t>RF-14</t>
  </si>
  <si>
    <t>14</t>
  </si>
  <si>
    <t>Que cada propiedad tenga su semáforo calculado automáticamente</t>
  </si>
  <si>
    <t>Sprint 4 (Backend): backlog, avance día a día y burndown</t>
  </si>
  <si>
    <t>Saber de inmediato su nivel de riesgo</t>
  </si>
  <si>
    <t>H13 Sprint 5</t>
  </si>
  <si>
    <t>Propiedad completa</t>
  </si>
  <si>
    <t>La propiedad tiene los datos de los 4 factores</t>
  </si>
  <si>
    <t>Cuando se guarda o se actualiza</t>
  </si>
  <si>
    <t>Sprint 5 (Front-end web): backlog, avance día a día y burndown</t>
  </si>
  <si>
    <t>Se calcula el puntaje de 0 a 8 y la zona (6 a 8 verde, 3 a 5 amarilla, 0 a 2 roja) y se guarda la evaluación. Reglas del 05-10-2026 (4 factores): falta aplicarlas en la base de datos</t>
  </si>
  <si>
    <t>H14 Sprint 6</t>
  </si>
  <si>
    <t>Dato faltante</t>
  </si>
  <si>
    <t>Falta un factor, por ejemplo los comparables</t>
  </si>
  <si>
    <t>Cuando se evalúa</t>
  </si>
  <si>
    <t>Ese factor se evalúa con 0 puntos y se muestra «Por verificar», porque sin el dato no se puede sacar una conclusión</t>
  </si>
  <si>
    <t>Sprint 6 (Conexión): backlog, avance día a día y burndown</t>
  </si>
  <si>
    <t>E6</t>
  </si>
  <si>
    <t>Geografía y mapa</t>
  </si>
  <si>
    <t>Las propiedades se ubican por comuna en un mapa, con la cobertura del servicio y el índice de seguridad comunal.</t>
  </si>
  <si>
    <t>RF-06</t>
  </si>
  <si>
    <t>H15 Sprint 7</t>
  </si>
  <si>
    <t>Veto</t>
  </si>
  <si>
    <t>7, 12</t>
  </si>
  <si>
    <t>Tiene usufructo vitalicio, herencia no resuelta, prohibición de expropiación o descuento real menor a 15 %</t>
  </si>
  <si>
    <t>Sprint 7 (Documentación fase 2 y cierre): backlog, avance día a día y burndown</t>
  </si>
  <si>
    <t>Queda en zona roja por veto y se guarda el motivo</t>
  </si>
  <si>
    <t>HU-04
(E9 · 3 pts)</t>
  </si>
  <si>
    <t>I</t>
  </si>
  <si>
    <t>I1 Plan de pruebas</t>
  </si>
  <si>
    <t>Equipo de desarrollo</t>
  </si>
  <si>
    <t>Plan de pruebas</t>
  </si>
  <si>
    <t>Una API REST documentada en /api/v1</t>
  </si>
  <si>
    <t>I2 Casos de prueba</t>
  </si>
  <si>
    <t>Que la web, la app y el panel usen la misma lógica</t>
  </si>
  <si>
    <t>Documentación</t>
  </si>
  <si>
    <t>Casos de prueba</t>
  </si>
  <si>
    <t>La API está en ejecución</t>
  </si>
  <si>
    <t>Cuando abro /docs</t>
  </si>
  <si>
    <t>Todos los endpoints de /api/v1 aparecen documentados (OpenAPI) con sus esquemas</t>
  </si>
  <si>
    <t>E7</t>
  </si>
  <si>
    <t>I3 Pruebas funcionales</t>
  </si>
  <si>
    <t>Administración y métricas</t>
  </si>
  <si>
    <t>Resumen de pruebas funcionales y criterios de salida</t>
  </si>
  <si>
    <t>El administrador edita fotos y descripción, ve quién vio y guardó cada publicación, envía anuncios y responde opiniones; el analista revisa métricas en modo solo lectura.</t>
  </si>
  <si>
    <t>RF-14, 15</t>
  </si>
  <si>
    <t>15</t>
  </si>
  <si>
    <t>I4 No funcionales</t>
  </si>
  <si>
    <t>Datos inválidos</t>
  </si>
  <si>
    <t>Envío un cuerpo con datos inválidos</t>
  </si>
  <si>
    <t>Pruebas no funcionales</t>
  </si>
  <si>
    <t>Cuando llamo a un endpoint</t>
  </si>
  <si>
    <t>Responde 422 con {código, mensaje}, sin detalles internos</t>
  </si>
  <si>
    <t>I5 Defectos</t>
  </si>
  <si>
    <t>Sin token</t>
  </si>
  <si>
    <t>El endpoint está protegido</t>
  </si>
  <si>
    <t>Gestión de defectos</t>
  </si>
  <si>
    <t>Cuando lo llamo sin token o con uno vencido</t>
  </si>
  <si>
    <t>Responde 401</t>
  </si>
  <si>
    <t>HU-05
(E3 · 5 pts)</t>
  </si>
  <si>
    <t>Ver en el detalle la justificación del semáforo factor por factor</t>
  </si>
  <si>
    <t>E8</t>
  </si>
  <si>
    <t>App móvil</t>
  </si>
  <si>
    <t>El inversionista usa HouseGreen en el teléfono: catálogo, detalle, guardados y avisos push.</t>
  </si>
  <si>
    <t>Confiar en la clasificación</t>
  </si>
  <si>
    <t>RF-06, 07, 11</t>
  </si>
  <si>
    <t>2</t>
  </si>
  <si>
    <t>Detalle con justificación</t>
  </si>
  <si>
    <t>La propiedad tiene una evaluación</t>
  </si>
  <si>
    <t>Cuando abro el detalle</t>
  </si>
  <si>
    <t>Veo los 4 factores con su valor, zona, puntos y fuente, y el puntaje total</t>
  </si>
  <si>
    <t>Propiedad vetada</t>
  </si>
  <si>
    <t>La evaluación tiene un veto</t>
  </si>
  <si>
    <t>Veo «Zona roja por veto» y el motivo</t>
  </si>
  <si>
    <t>Historial</t>
  </si>
  <si>
    <t>La propiedad tuvo evaluaciones anteriores</t>
  </si>
  <si>
    <t>E9</t>
  </si>
  <si>
    <t>Cuando abro el historial</t>
  </si>
  <si>
    <t>Plataforma y calidad</t>
  </si>
  <si>
    <t>Veo la fecha, el puntaje y la zona de cada evaluación</t>
  </si>
  <si>
    <t>API documentada, base de datos, pruebas automatizadas, despliegue de demostración y validación con usuarios.</t>
  </si>
  <si>
    <t>RF-13, 16</t>
  </si>
  <si>
    <t>HU-06
(E2 · 5 pts)</t>
  </si>
  <si>
    <t>3, 16, 18, 19</t>
  </si>
  <si>
    <t>Filtrar por comuna, precio, tipo y zona</t>
  </si>
  <si>
    <t>Encontrar lo que calza con mi estrategia</t>
  </si>
  <si>
    <t>Filtro combinado</t>
  </si>
  <si>
    <t>Hay propiedades de varias comunas y precios</t>
  </si>
  <si>
    <t>Cuando filtro por Maipú y precio hasta $80.000.000</t>
  </si>
  <si>
    <t>Solo aparecen las que cumplen ambos filtros, en 2 segundos o menos</t>
  </si>
  <si>
    <t>Total</t>
  </si>
  <si>
    <t>Filtro por zona</t>
  </si>
  <si>
    <t>Hay propiedades en las tres zonas</t>
  </si>
  <si>
    <t>Cuando filtro por zona verde</t>
  </si>
  <si>
    <t>Solo aparecen propiedades en zona verde</t>
  </si>
  <si>
    <t>Sin coincidencias</t>
  </si>
  <si>
    <t>Ninguna propiedad cumple los filtros</t>
  </si>
  <si>
    <t>Cuando aplico los filtros</t>
  </si>
  <si>
    <t>Veo «Sin resultados» y la opción para limpiar los filtros</t>
  </si>
  <si>
    <t>HU-07
(E4 · 3 pts)</t>
  </si>
  <si>
    <t>Guardar propiedades</t>
  </si>
  <si>
    <t>Seguirlas hasta el día del remate</t>
  </si>
  <si>
    <t>Guardar</t>
  </si>
  <si>
    <t>Estoy en el catálogo o en el detalle</t>
  </si>
  <si>
    <t>Cuando toco «Guardar»</t>
  </si>
  <si>
    <t>La propiedad aparece en Guardados y se mantiene al cerrar y volver a abrir la sesión</t>
  </si>
  <si>
    <t>Quitar</t>
  </si>
  <si>
    <t>Tengo una propiedad guardada</t>
  </si>
  <si>
    <t>Cuando la quito y confirmo</t>
  </si>
  <si>
    <t>Desaparece de mi lista</t>
  </si>
  <si>
    <t>Datos ajenos</t>
  </si>
  <si>
    <t>Otro usuario tiene propiedades guardadas</t>
  </si>
  <si>
    <t>Cuando pido sus guardados cambiando el id</t>
  </si>
  <si>
    <t>Responde 403 o 404, sin mostrar datos ajenos</t>
  </si>
  <si>
    <t>HU-08
(E7 · 3 pts)</t>
  </si>
  <si>
    <t>Escala de priorización</t>
  </si>
  <si>
    <t>Administrador</t>
  </si>
  <si>
    <t>Significado</t>
  </si>
  <si>
    <t>Imprescindible para el MVP (Release 1)</t>
  </si>
  <si>
    <t>Editar las fotos y la descripción de una publicación</t>
  </si>
  <si>
    <t>Necesaria para la propuesta completa</t>
  </si>
  <si>
    <t>Mejorar su presentación sin alterar los datos del remate</t>
  </si>
  <si>
    <t>Complementa la operación</t>
  </si>
  <si>
    <t>Editar descripción</t>
  </si>
  <si>
    <t>Estoy en una publicación</t>
  </si>
  <si>
    <t>Cuando guardo una descripción de hasta 1.000 caracteres</t>
  </si>
  <si>
    <t>La ficha muestra la nueva descripción y el cambio queda auditado</t>
  </si>
  <si>
    <t>Fotos</t>
  </si>
  <si>
    <t>Cuando subo, ordeno o elijo la portada (hasta 15 fotos)</t>
  </si>
  <si>
    <t>La ficha muestra las fotos en ese orden, con la portada elegida</t>
  </si>
  <si>
    <t>Datos del remate</t>
  </si>
  <si>
    <t>Cuando intento cambiar el precio, la fecha o el tribunal</t>
  </si>
  <si>
    <t>No es posible: esos campos no se editan y la API responde 403</t>
  </si>
  <si>
    <t>HU-09
(E1 · 5 pts)</t>
  </si>
  <si>
    <t>Iniciar sesión con un segundo factor</t>
  </si>
  <si>
    <t>Proteger el panel de administración</t>
  </si>
  <si>
    <t>Código válido</t>
  </si>
  <si>
    <t>Tengo el segundo factor activo</t>
  </si>
  <si>
    <t>Cuando ingreso correo, contraseña y un código TOTP vigente</t>
  </si>
  <si>
    <t>Entro al panel</t>
  </si>
  <si>
    <t>Código vencido o usado</t>
  </si>
  <si>
    <t>Cuando ingreso un código vencido o ya usado</t>
  </si>
  <si>
    <t>Se niega el acceso y el intento queda en la auditoría</t>
  </si>
  <si>
    <t>Intentos fallidos</t>
  </si>
  <si>
    <t>Fallé 5 veces seguidas</t>
  </si>
  <si>
    <t>Cuando intento entrar de nuevo</t>
  </si>
  <si>
    <t>La cuenta queda bloqueada 15 minutos</t>
  </si>
  <si>
    <t>HU-10
(E5 · 13 pts)</t>
  </si>
  <si>
    <r>
      <rPr>
        <rFont val="Arial"/>
        <color rgb="FF000000"/>
        <sz val="10.0"/>
      </rPr>
      <t xml:space="preserve">Que los remates se carguen solos desde </t>
    </r>
    <r>
      <rPr>
        <rFont val="Arial"/>
        <color rgb="FF1155CC"/>
        <sz val="10.0"/>
        <u/>
      </rPr>
      <t>https://www.rematesinmobiliarios.cl/</t>
    </r>
    <r>
      <rPr>
        <rFont val="Arial"/>
        <color rgb="FF000000"/>
        <sz val="10.0"/>
      </rPr>
      <t xml:space="preserve"> cada 6 horas</t>
    </r>
  </si>
  <si>
    <t>Product Backlog priorizado</t>
  </si>
  <si>
    <t>Que el catálogo esté al día</t>
  </si>
  <si>
    <t>Orden</t>
  </si>
  <si>
    <t>Carga programada</t>
  </si>
  <si>
    <t>El planificador está activo</t>
  </si>
  <si>
    <t>Cuando se cumplen 6 horas desde la última carga</t>
  </si>
  <si>
    <t>Se leen los remates publicados, se cargan los nuevos y se registra la ejecución con cargados y errores</t>
  </si>
  <si>
    <t>Historia de usuario</t>
  </si>
  <si>
    <t>RF o entregable</t>
  </si>
  <si>
    <t>Valor
(1 a 5)</t>
  </si>
  <si>
    <t>Urgencia
(1 a 5)</t>
  </si>
  <si>
    <t>Puntaje
(V × U)</t>
  </si>
  <si>
    <t>Aviso incompleto</t>
  </si>
  <si>
    <t>Prioridad</t>
  </si>
  <si>
    <t>Un aviso viene sin rol de avalúo</t>
  </si>
  <si>
    <t>Cuando se procesa</t>
  </si>
  <si>
    <t>Sprint
(plan 24-09)</t>
  </si>
  <si>
    <t>Se descarta, queda registrado el error y la carga continúa</t>
  </si>
  <si>
    <t>Sprint
(al 04-10)</t>
  </si>
  <si>
    <t>Release</t>
  </si>
  <si>
    <t>Estado</t>
  </si>
  <si>
    <t>Aviso repetido</t>
  </si>
  <si>
    <t>El aviso ya fue cargado</t>
  </si>
  <si>
    <t>HU-01</t>
  </si>
  <si>
    <t>Cuando se lee otra vez</t>
  </si>
  <si>
    <t>No se duplica la propiedad; se actualiza si cambió</t>
  </si>
  <si>
    <t>Como inversionista, quiero registrarme e iniciar sesión con correo y contraseña, para acceder de forma segura a la plataforma.</t>
  </si>
  <si>
    <t>HU-11
(E3 · 8 pts)</t>
  </si>
  <si>
    <t>RF-01</t>
  </si>
  <si>
    <t>Configurar umbrales, vetos e índice comunal</t>
  </si>
  <si>
    <t>Ajustar el semáforo sin tocar el código</t>
  </si>
  <si>
    <t>Cambiar un umbral</t>
  </si>
  <si>
    <t>Estoy en Reglas del semáforo</t>
  </si>
  <si>
    <t>Cuando cambio el umbral verde del factor 1 y guardo</t>
  </si>
  <si>
    <t>Se crea una nueva versión de reglas y se recalculan las publicaciones activas</t>
  </si>
  <si>
    <t>Umbral inválido</t>
  </si>
  <si>
    <t>Estoy editando un factor</t>
  </si>
  <si>
    <t>Cuando dejo el umbral verde por debajo del rojo</t>
  </si>
  <si>
    <t>No se guarda y el sistema explica el error</t>
  </si>
  <si>
    <t>Índice comunal</t>
  </si>
  <si>
    <t>Estoy en Seguridad por comuna</t>
  </si>
  <si>
    <t>Cuando cambio el nivel de una comuna</t>
  </si>
  <si>
    <t>Queda con su fecha de vigencia y se recalculan sus propiedades</t>
  </si>
  <si>
    <t>HU-12
(E1 · 3 pts)</t>
  </si>
  <si>
    <t>Recuperar mi contraseña por correo</t>
  </si>
  <si>
    <t>No perder el acceso a mi cuenta</t>
  </si>
  <si>
    <t>Solicitud</t>
  </si>
  <si>
    <t>Olvidé mi contraseña</t>
  </si>
  <si>
    <t>Cuando ingreso mi correo</t>
  </si>
  <si>
    <t>Veo el mismo mensaje exista o no la cuenta; si existe, llega un enlace de un solo uso que vence en 30 minutos</t>
  </si>
  <si>
    <t>Enlace vencido o usado</t>
  </si>
  <si>
    <t>Recibí un enlace</t>
  </si>
  <si>
    <t>Cuando lo abro después de 30 minutos o por segunda vez</t>
  </si>
  <si>
    <t>Se rechaza y puedo pedir uno nuevo</t>
  </si>
  <si>
    <t>HU-13
(E4 · 8 pts)</t>
  </si>
  <si>
    <t>Recibir alertas cuando aparezca una propiedad que calce con mis filtros</t>
  </si>
  <si>
    <t>Hecho</t>
  </si>
  <si>
    <t>HU-02</t>
  </si>
  <si>
    <t>Como inversionista, quiero ver el catálogo de remates vigentes, para conocer las oportunidades disponibles.</t>
  </si>
  <si>
    <t>No perder oportunidades</t>
  </si>
  <si>
    <t>RF-04</t>
  </si>
  <si>
    <t>Nueva coincidencia</t>
  </si>
  <si>
    <t>Tengo un filtro guardado y activo</t>
  </si>
  <si>
    <t>Cuando la ingesta carga una propiedad que calza</t>
  </si>
  <si>
    <t>Recibo una alerta (app, push o correo) en menos de 5 minutos</t>
  </si>
  <si>
    <t>Filtro inactivo</t>
  </si>
  <si>
    <t>Desactivé mi filtro</t>
  </si>
  <si>
    <t>Cuando llega una propiedad que calza</t>
  </si>
  <si>
    <t>No recibo alerta</t>
  </si>
  <si>
    <t>Cambio de zona</t>
  </si>
  <si>
    <t>Guardé una propiedad</t>
  </si>
  <si>
    <t>Cuando cambia su zona del semáforo</t>
  </si>
  <si>
    <t>Recibo el aviso «Pasó a zona …»</t>
  </si>
  <si>
    <t>HU-03</t>
  </si>
  <si>
    <t>HU-14
(E4 · 3 pts)</t>
  </si>
  <si>
    <t>Como inversionista, quiero que cada propiedad tenga su semáforo calculado automáticamente, para saber de inmediato su nivel de riesgo.</t>
  </si>
  <si>
    <t>RF-08</t>
  </si>
  <si>
    <t>Ver el historial de alertas</t>
  </si>
  <si>
    <t>Revisar cambios de precio y de zona</t>
  </si>
  <si>
    <t>Ver historial</t>
  </si>
  <si>
    <t>Recibí alertas</t>
  </si>
  <si>
    <t>Cuando abro Notificaciones</t>
  </si>
  <si>
    <t>HU-07</t>
  </si>
  <si>
    <t>Veo cada alerta con fecha, tipo y propiedad, de la más nueva a la más antigua</t>
  </si>
  <si>
    <t>Como inversionista, quiero guardar propiedades, para seguirlas hasta el día del remate.</t>
  </si>
  <si>
    <t>RF-07</t>
  </si>
  <si>
    <t>Marcar como leída</t>
  </si>
  <si>
    <t>Tengo alertas sin leer</t>
  </si>
  <si>
    <t>Cuando abro una</t>
  </si>
  <si>
    <t>Queda leída y baja el contador</t>
  </si>
  <si>
    <t>HU-15
(E6 · 5 pts)</t>
  </si>
  <si>
    <t>HU-04</t>
  </si>
  <si>
    <t>Como equipo de desarrollo, quiero una API REST documentada en /api/v1, para que la web, la app y el panel usen la misma lógica.</t>
  </si>
  <si>
    <t>RF-13</t>
  </si>
  <si>
    <t>Ver los remates en un mapa por comuna</t>
  </si>
  <si>
    <t>Ubicar las oportunidades</t>
  </si>
  <si>
    <t>Mapa por comuna</t>
  </si>
  <si>
    <t>Hay propiedades en varias comunas</t>
  </si>
  <si>
    <t>Cuando abro el mapa</t>
  </si>
  <si>
    <t>Por hacer</t>
  </si>
  <si>
    <t>Veo las propiedades por comuna con su zona y una leyenda con texto e ícono, no solo color</t>
  </si>
  <si>
    <t>HU-05</t>
  </si>
  <si>
    <t>Como inversionista, quiero ver en el detalle la justificación del semáforo factor por factor, para confiar en la clasificación.</t>
  </si>
  <si>
    <t>RF-09</t>
  </si>
  <si>
    <t>Sin coordenadas</t>
  </si>
  <si>
    <t>Una propiedad no tiene coordenadas</t>
  </si>
  <si>
    <t>Aparece en el centro de su comuna con la marca «ubicación aproximada»</t>
  </si>
  <si>
    <t>Fuera de cobertura</t>
  </si>
  <si>
    <t>Consulto una comuna fuera de la cobertura</t>
  </si>
  <si>
    <t>Cuando la selecciono</t>
  </si>
  <si>
    <t>HU-06</t>
  </si>
  <si>
    <t>Veo que está fuera de la zona de cobertura</t>
  </si>
  <si>
    <t>Como inversionista, quiero filtrar por comuna, precio, tipo y zona, para encontrar lo que calza con mi estrategia.</t>
  </si>
  <si>
    <t>HU-16
(E8 · 13 pts)</t>
  </si>
  <si>
    <t>Usar HouseGreen en el teléfono y recibir avisos push</t>
  </si>
  <si>
    <t>HU-08</t>
  </si>
  <si>
    <t>Revisar oportunidades en terreno</t>
  </si>
  <si>
    <t>Como administrador, quiero editar las fotos y la descripción de una publicación, para mejorar su presentación sin alterar los datos del remate.</t>
  </si>
  <si>
    <t>Instalar y entrar</t>
  </si>
  <si>
    <t>Tengo un teléfono Android o iOS</t>
  </si>
  <si>
    <t>Cuando instalo la app e inicio sesión</t>
  </si>
  <si>
    <t>La app funciona sin cierres inesperados</t>
  </si>
  <si>
    <t>HU-23</t>
  </si>
  <si>
    <t>Como administrador, quiero ver cuántas personas vieron y guardaron cada publicación, para enviar anuncios a los interesados.</t>
  </si>
  <si>
    <t>RF-15</t>
  </si>
  <si>
    <t>Aviso push</t>
  </si>
  <si>
    <t>Tengo alertas activas</t>
  </si>
  <si>
    <t>Cuando llega una alerta</t>
  </si>
  <si>
    <t>Recibo un aviso push que abre el detalle de la propiedad</t>
  </si>
  <si>
    <t>Nueva</t>
  </si>
  <si>
    <t>Guardados sincronizados</t>
  </si>
  <si>
    <t>Guardé propiedades en la web</t>
  </si>
  <si>
    <t>Cuando abro la app</t>
  </si>
  <si>
    <t>HU-10</t>
  </si>
  <si>
    <t>Veo las mismas propiedades guardadas</t>
  </si>
  <si>
    <t>Como administrador, quiero que los remates se carguen solos desde https://www.rematesinmobiliarios.cl/ cada 6 horas, para que el catálogo esté al día.</t>
  </si>
  <si>
    <t>HU-17
(E7 · 8 pts)</t>
  </si>
  <si>
    <t>Analista</t>
  </si>
  <si>
    <t>Ver métricas de subastas, usuarios y alcance en modo solo lectura</t>
  </si>
  <si>
    <t>Evaluar la tracción del producto</t>
  </si>
  <si>
    <t>HU-09</t>
  </si>
  <si>
    <t>Como administrador, quiero iniciar sesión con un segundo factor, para proteger el panel de administración.</t>
  </si>
  <si>
    <t>RF-02</t>
  </si>
  <si>
    <t>Ver métricas</t>
  </si>
  <si>
    <t>Entro como analista</t>
  </si>
  <si>
    <t>Cuando abro Resumen, Subastas, Usuarios o Alcance</t>
  </si>
  <si>
    <t>Veo los gráficos y puedo cambiar el período (7 días, 30 días o 12 meses)</t>
  </si>
  <si>
    <t>—</t>
  </si>
  <si>
    <t>Intento de escritura</t>
  </si>
  <si>
    <t>Cuando intento crear, editar o enviar algo</t>
  </si>
  <si>
    <t>La API responde 403 y la interfaz no muestra acciones de edición</t>
  </si>
  <si>
    <t>HU-12</t>
  </si>
  <si>
    <t>HU-18
(E7 · 5 pts)</t>
  </si>
  <si>
    <t>Como inversionista, quiero recuperar mi contraseña por correo, para no perder el acceso a mi cuenta.</t>
  </si>
  <si>
    <t>RF-03</t>
  </si>
  <si>
    <t>Enviar anuncios y responder opiniones autorizadas</t>
  </si>
  <si>
    <t>En curso</t>
  </si>
  <si>
    <t>Comunicarme con los usuarios</t>
  </si>
  <si>
    <t>HU-11</t>
  </si>
  <si>
    <t>Como administrador, quiero configurar umbrales, vetos e índice comunal, para ajustar el semáforo sin tocar el código.</t>
  </si>
  <si>
    <t>RF-10</t>
  </si>
  <si>
    <t>Anuncio a un grupo</t>
  </si>
  <si>
    <t>Una publicación tiene personas que la guardaron</t>
  </si>
  <si>
    <t>Cuando envío un anuncio a ese grupo</t>
  </si>
  <si>
    <t>Solo ellos lo reciben y queda registrado quién lo leyó</t>
  </si>
  <si>
    <t>Opinión autorizada</t>
  </si>
  <si>
    <t>Descartada</t>
  </si>
  <si>
    <t>El usuario autorizó una respuesta</t>
  </si>
  <si>
    <t>Cuando respondo</t>
  </si>
  <si>
    <t>La respuesta le llega por correo y en sus notificaciones</t>
  </si>
  <si>
    <t>HU-13</t>
  </si>
  <si>
    <t>Como inversionista, quiero recibir alertas cuando aparezca una propiedad que calce con mis filtros, para no perder oportunidades.</t>
  </si>
  <si>
    <t>RF-11</t>
  </si>
  <si>
    <t>Opinión sin autorización</t>
  </si>
  <si>
    <t>El usuario no autorizó respuesta</t>
  </si>
  <si>
    <t>Cuando abro su opinión</t>
  </si>
  <si>
    <t>No aparece la opción de responder</t>
  </si>
  <si>
    <t>HU-19
(E9 · 8 pts)</t>
  </si>
  <si>
    <t>Responsable de calidad</t>
  </si>
  <si>
    <t>Pruebas automatizadas que corran en cada cambio</t>
  </si>
  <si>
    <t>HU-15</t>
  </si>
  <si>
    <t>Detectar errores antes de entregar</t>
  </si>
  <si>
    <t>Como inversionista, quiero ver los remates en un mapa por comuna, para ubicar las oportunidades.</t>
  </si>
  <si>
    <t>Entreg. 7 y 12</t>
  </si>
  <si>
    <t>Cada cambio</t>
  </si>
  <si>
    <t>Se abre un pull request</t>
  </si>
  <si>
    <t>Cuando se sube el cambio</t>
  </si>
  <si>
    <t>GitHub Actions ejecuta las pruebas; si una falla, el cambio no se integra</t>
  </si>
  <si>
    <t>Bordes de las reglas</t>
  </si>
  <si>
    <t>Existen las pruebas del motor</t>
  </si>
  <si>
    <t>Cuando corren</t>
  </si>
  <si>
    <t>Cubren los bordes de cada umbral, por ejemplo 14,9 %, 15 %, 39,9 % y 40 % de descuento</t>
  </si>
  <si>
    <t>HU-20
(E9 · 5 pts)</t>
  </si>
  <si>
    <t>HU-14</t>
  </si>
  <si>
    <t>Como inversionista, quiero ver el historial de alertas, para revisar cambios de precio y de zona.</t>
  </si>
  <si>
    <t>RF-12</t>
  </si>
  <si>
    <t>Desplegar la web, la API, el worker y la base en la nube</t>
  </si>
  <si>
    <t>Demostrar la solución funcionando</t>
  </si>
  <si>
    <t>Demostración en la nube</t>
  </si>
  <si>
    <t>El código está en la rama principal</t>
  </si>
  <si>
    <t>Cuando se despliega en Railway</t>
  </si>
  <si>
    <t>Web, API, worker y base funcionan con HTTPS y /health responde 200</t>
  </si>
  <si>
    <t>HU-19</t>
  </si>
  <si>
    <t>Como responsable de calidad, quiero pruebas automatizadas que corran en cada cambio, para detectar errores antes de entregar.</t>
  </si>
  <si>
    <t>RF-16</t>
  </si>
  <si>
    <t>Secretos</t>
  </si>
  <si>
    <t>Hay claves y contraseñas de servicios</t>
  </si>
  <si>
    <t>Cuando se revisa el repositorio</t>
  </si>
  <si>
    <t>Ninguna clave está en el código; todas están en variables de entorno</t>
  </si>
  <si>
    <t>Estimación: patrón de comparación</t>
  </si>
  <si>
    <t>HU-21
(E9 · 5 pts)</t>
  </si>
  <si>
    <t>HU-22</t>
  </si>
  <si>
    <t>Product Owner</t>
  </si>
  <si>
    <t>Como administrador, quiero que las acciones críticas queden auditadas y que la API tenga límites de uso, para proteger la plataforma.</t>
  </si>
  <si>
    <t>Entreg. 17</t>
  </si>
  <si>
    <t>Validar el producto con inversionistas</t>
  </si>
  <si>
    <t>Complejidad</t>
  </si>
  <si>
    <t>Esfuerzo</t>
  </si>
  <si>
    <t>Confirmar que resuelve el problema</t>
  </si>
  <si>
    <t>Incertidumbre y dependencias</t>
  </si>
  <si>
    <t>Historia de referencia</t>
  </si>
  <si>
    <t>Prueba con 5 inversionistas</t>
  </si>
  <si>
    <t>HU-17</t>
  </si>
  <si>
    <t>El producto está desplegado</t>
  </si>
  <si>
    <t>Cuando cada participante se registra y busca propiedades</t>
  </si>
  <si>
    <t>Como analista, quiero ver métricas de subastas, usuarios y alcance en modo solo lectura, para evaluar la tracción del producto.</t>
  </si>
  <si>
    <t>Lo logra en menos de 5 minutos y el SUS promedio supera 68</t>
  </si>
  <si>
    <t>Baja</t>
  </si>
  <si>
    <t>Una tarde o menos por integrante</t>
  </si>
  <si>
    <t>Sin dependencias ni dudas técnicas</t>
  </si>
  <si>
    <t>HU-07 · Guardar propiedades</t>
  </si>
  <si>
    <t>Hallazgos</t>
  </si>
  <si>
    <t>Terminó la prueba</t>
  </si>
  <si>
    <t>Media</t>
  </si>
  <si>
    <t>Cuando se analizan los resultados</t>
  </si>
  <si>
    <t>Un endpoint, su pantalla y sus pruebas</t>
  </si>
  <si>
    <t>Pocas dependencias</t>
  </si>
  <si>
    <t>Cada problema queda como defecto o historia en el backlog</t>
  </si>
  <si>
    <t>HU-01 · Registro e inicio de sesión</t>
  </si>
  <si>
    <t>HU-22
(E1 · 5 pts)</t>
  </si>
  <si>
    <t>Alta</t>
  </si>
  <si>
    <t>Varias reglas de negocio y casos borde</t>
  </si>
  <si>
    <t>HU-18</t>
  </si>
  <si>
    <t>Depende de datos de varias tablas</t>
  </si>
  <si>
    <t>HU-03 · Semáforo automático</t>
  </si>
  <si>
    <t>Como administrador, quiero enviar anuncios y responder opiniones autorizadas, para comunicarme con los usuarios.</t>
  </si>
  <si>
    <t>Entreg. 15</t>
  </si>
  <si>
    <t>Muy alta</t>
  </si>
  <si>
    <t>Integración con un sistema externo</t>
  </si>
  <si>
    <t>Alta incertidumbre: la fuente puede cambiar o fallar</t>
  </si>
  <si>
    <t>HU-10 · Carga automática de remates</t>
  </si>
  <si>
    <t>Que las acciones críticas queden auditadas y que la API tenga límites de uso</t>
  </si>
  <si>
    <t>Proteger la plataforma</t>
  </si>
  <si>
    <t>Capacidad y velocidad</t>
  </si>
  <si>
    <t>Parámetro</t>
  </si>
  <si>
    <t>HU-20</t>
  </si>
  <si>
    <t>Valor</t>
  </si>
  <si>
    <t>Acción crítica</t>
  </si>
  <si>
    <t>Soy administrador</t>
  </si>
  <si>
    <t>Como equipo de desarrollo, quiero desplegar la web, la API, el worker y la base en la nube, para demostrar la solución funcionando.</t>
  </si>
  <si>
    <t>Integrantes del equipo</t>
  </si>
  <si>
    <t>Entreg. 19</t>
  </si>
  <si>
    <t>Cuando edito una publicación</t>
  </si>
  <si>
    <t>Queda registrado quién, qué y cuándo</t>
  </si>
  <si>
    <t>Límite de uso</t>
  </si>
  <si>
    <t>Una misma IP intenta iniciar sesión</t>
  </si>
  <si>
    <t>Cuando supera 5 intentos por minuto</t>
  </si>
  <si>
    <t>La API responde 429</t>
  </si>
  <si>
    <t>HU-16</t>
  </si>
  <si>
    <t>Como inversionista, quiero usar HouseGreen en el teléfono y recibir avisos push, para revisar oportunidades en terreno.</t>
  </si>
  <si>
    <t>Entreg. 2</t>
  </si>
  <si>
    <t>Rol sin permiso</t>
  </si>
  <si>
    <t>Soy inversionista</t>
  </si>
  <si>
    <t>Cuando intento crear o editar una propiedad</t>
  </si>
  <si>
    <t>La API responde 403</t>
  </si>
  <si>
    <t>Horas por semana de cada integrante</t>
  </si>
  <si>
    <t>HU-23
(E7 · 5 pts)</t>
  </si>
  <si>
    <t>HU-21</t>
  </si>
  <si>
    <t>Como Product Owner, quiero validar el producto con inversionistas, para confirmar que resuelve el problema.</t>
  </si>
  <si>
    <t>Semanas del proyecto</t>
  </si>
  <si>
    <t>Objetivo 7</t>
  </si>
  <si>
    <t>Horas disponibles del proyecto</t>
  </si>
  <si>
    <t>Ver cuántas personas vieron y guardaron cada publicación</t>
  </si>
  <si>
    <t>Enviar anuncios a los interesados</t>
  </si>
  <si>
    <t>Lista de publicaciones</t>
  </si>
  <si>
    <t>Hay publicaciones con vistas y guardados</t>
  </si>
  <si>
    <t>Cuando abro Publicaciones</t>
  </si>
  <si>
    <t>Puntos del plan de entrega (sprints 4 a 7)</t>
  </si>
  <si>
    <t>Veo cada una con zona, comuna, vistas y guardados, y puedo ordenar por más vistas, más guardadas, comuna o zona</t>
  </si>
  <si>
    <t>Conteo de vistas</t>
  </si>
  <si>
    <t>Un inversionista abre el detalle varias veces en 30 minutos</t>
  </si>
  <si>
    <t>Cuando se registran las vistas</t>
  </si>
  <si>
    <t>Cuenta una sola visita; las de administradores y analistas no cuentan</t>
  </si>
  <si>
    <t>Quién la vio y la guardó</t>
  </si>
  <si>
    <t>Cuando abro sus pestañas</t>
  </si>
  <si>
    <t>Veo «La vieron» y «La guardaron» con nombre y fecha</t>
  </si>
  <si>
    <t>Horas disponibles por punto</t>
  </si>
  <si>
    <t>Definición de entregables</t>
  </si>
  <si>
    <t>Técnica de estimación</t>
  </si>
  <si>
    <t>Planning Poker con la serie de Fibonacci (1, 2, 3, 5, 8, 13)</t>
  </si>
  <si>
    <t>N.º</t>
  </si>
  <si>
    <t>Entregable</t>
  </si>
  <si>
    <t>Estado al 04-10</t>
  </si>
  <si>
    <t>Evidencia</t>
  </si>
  <si>
    <t>Plataforma web HouseGreen</t>
  </si>
  <si>
    <t>HU-02, 05, 06</t>
  </si>
  <si>
    <t>R1</t>
  </si>
  <si>
    <t>Implementado</t>
  </si>
  <si>
    <t>React 19 + Vite: catálogo desde la API, sesión con /auth/me, detalle y guardados por API (29-09)</t>
  </si>
  <si>
    <t>Aplicación móvil para inversionistas</t>
  </si>
  <si>
    <t>R2</t>
  </si>
  <si>
    <t>Front-end terminado el 03-10-2026; la conexión con la API se hace en el Sprint 6 (Android Studio)</t>
  </si>
  <si>
    <t>Backend API REST</t>
  </si>
  <si>
    <t>En desarrollo</t>
  </si>
  <si>
    <t>FastAPI: autenticación, propiedades, vistas, favoritos, alertas y comunas</t>
  </si>
  <si>
    <t>Módulo de autenticación y 2FA</t>
  </si>
  <si>
    <t>Puntos por sprint</t>
  </si>
  <si>
    <t>HU-01, 09, 12</t>
  </si>
  <si>
    <t>Sprint</t>
  </si>
  <si>
    <t>Registro e inicio de sesión con JWT y bcrypt; /auth/me (29-09). La verificación en dos pasos (HU-09) está en el backlog, sin sprint</t>
  </si>
  <si>
    <t>Gestión de usuarios y roles</t>
  </si>
  <si>
    <t>HU-17, 22</t>
  </si>
  <si>
    <t>Roles 1, 2 y 3; rutas y menú del administrador solo para su rol (29-09)</t>
  </si>
  <si>
    <t>Módulo de propiedades</t>
  </si>
  <si>
    <t>HU-02, 06</t>
  </si>
  <si>
    <t>CRUD en la API; DEF-01 y DEF-03 corregidos (01-10 y 04-10), falta la re-prueba</t>
  </si>
  <si>
    <t>Módulo de geografía</t>
  </si>
  <si>
    <t>Tabla de comunas y endpoint /comunas</t>
  </si>
  <si>
    <t>calculate_score() en PL/pgSQL; umbrales corregidos (28-09); reglas probadas (30-09)</t>
  </si>
  <si>
    <t>Administrador del motor de reglas</t>
  </si>
  <si>
    <t>R3</t>
  </si>
  <si>
    <t>Pantallas diseñadas; historia descartada el 29-09: el administrador no configura las reglas</t>
  </si>
  <si>
    <t>Trazabilidad de evaluaciones</t>
  </si>
  <si>
    <t>property_evaluations y evaluation_details</t>
  </si>
  <si>
    <t>Módulo de propiedades guardadas</t>
  </si>
  <si>
    <t>La web usa GET, POST y DELETE /favoritos (29-09)</t>
  </si>
  <si>
    <t>Módulo de cobertura</t>
  </si>
  <si>
    <t>Diseñado</t>
  </si>
  <si>
    <t>coverage_zones en el modelo de datos</t>
  </si>
  <si>
    <t>Sistema de alertas</t>
  </si>
  <si>
    <t>HU-13, 14</t>
  </si>
  <si>
    <t>Endpoints /alertas y /alertas/filtros</t>
  </si>
  <si>
    <t>Módulo de ingesta y administración de datos</t>
  </si>
  <si>
    <t>Scrapeo de rematesinmobiliarios.cl con requests y BeautifulSoup: 444 remates reales de 45 comunas, sin duplicados (03-10)</t>
  </si>
  <si>
    <t>Panel administrativo</t>
  </si>
  <si>
    <t>HU-08, 18, 23</t>
  </si>
  <si>
    <t>Menú Panel, Publicaciones, Opiniones y Anuncios; registro de vistas (29-09)</t>
  </si>
  <si>
    <t>Base de datos centralizada</t>
  </si>
  <si>
    <t>HU-03, 04</t>
  </si>
  <si>
    <t>PostgreSQL con 22 tablas; base en la nube conectada con la página web (02-10); modelo ER y script SQL de referencia (29-09)</t>
  </si>
  <si>
    <t>Seguridad y auditoría</t>
  </si>
  <si>
    <t>Diseño de seguridad; bcrypt y JWT implementados. La auditoría (HU-22) está en el backlog, sin sprint</t>
  </si>
  <si>
    <t>Plan e informe de pruebas</t>
  </si>
  <si>
    <t>En ejecución</t>
  </si>
  <si>
    <t>Plan y 24 casos; 8 ejecutados (7 aprobados y 1 fallido)</t>
  </si>
  <si>
    <t>Despliegue de la solución</t>
  </si>
  <si>
    <t>Planificado</t>
  </si>
  <si>
    <t>Arquitectura de despliegue en Railway</t>
  </si>
  <si>
    <t>User Story Mapping</t>
  </si>
  <si>
    <t>Acceder</t>
  </si>
  <si>
    <t>Buscar remates</t>
  </si>
  <si>
    <t>Evaluar una propiedad</t>
  </si>
  <si>
    <t>Hacer seguimiento</t>
  </si>
  <si>
    <t>Administrar datos</t>
  </si>
  <si>
    <t>Operar y analizar</t>
  </si>
  <si>
    <t>R1 · MVP web
Sprints 4 y 5
al 13-10-2026</t>
  </si>
  <si>
    <t>HU-01
Registrarse e iniciar sesión</t>
  </si>
  <si>
    <t>HU-02
Ver el catálogo</t>
  </si>
  <si>
    <t>HU-03
Semáforo automático</t>
  </si>
  <si>
    <t>HU-07
Guardar propiedades</t>
  </si>
  <si>
    <t>HU-08
Fotos y descripción</t>
  </si>
  <si>
    <t>HU-17
Panel del analista</t>
  </si>
  <si>
    <t>HU-12
Recuperar contraseña</t>
  </si>
  <si>
    <t>HU-06
Filtros</t>
  </si>
  <si>
    <t>HU-05
Justificación por factor</t>
  </si>
  <si>
    <t>HU-10
Carga automática de remates</t>
  </si>
  <si>
    <t>HU-18
Anuncios y opiniones</t>
  </si>
  <si>
    <t>HU-15
Mapa por comuna</t>
  </si>
  <si>
    <t>HU-23
Vistas y guardados por publicación</t>
  </si>
  <si>
    <t>R2 · Conexión, pruebas y cierre
Sprints 6 a 7
al 04-11-2026</t>
  </si>
  <si>
    <t>HU-16
App móvil</t>
  </si>
  <si>
    <t>HU-13
Alertas por filtros</t>
  </si>
  <si>
    <t>HU-04
API documentada /api/v1</t>
  </si>
  <si>
    <t>HU-14
Historial de alertas</t>
  </si>
  <si>
    <t>HU-19
Pruebas automatizadas</t>
  </si>
  <si>
    <t>HU-20
Despliegue de demostración</t>
  </si>
  <si>
    <t>HU-21
Validación con usuarios</t>
  </si>
  <si>
    <t>R3 · Backlog sin sprint asignado</t>
  </si>
  <si>
    <t>HU-09
2FA del administrador</t>
  </si>
  <si>
    <t>HU-11
Reglas e índice comunal (descartada)</t>
  </si>
  <si>
    <t>HU-22
Seguridad y auditoría</t>
  </si>
  <si>
    <t>Verde: historia hecha. Crema: en curso. Blanco: por hacer.</t>
  </si>
  <si>
    <t>Nombre</t>
  </si>
  <si>
    <t>Sprints</t>
  </si>
  <si>
    <t>Término</t>
  </si>
  <si>
    <t>Qué puede hacer el usuario al final</t>
  </si>
  <si>
    <t>Entregables (N.º)</t>
  </si>
  <si>
    <t>MVP web</t>
  </si>
  <si>
    <t>4 y 5</t>
  </si>
  <si>
    <t>Registrarse, ver el catálogo con remates reales de rematesinmobiliarios.cl, filtrar, abrir el detalle con el semáforo explicado, guardar propiedades y recibir anuncios; el administrador edita fotos y descripción y ve quién vio cada publicación; el analista ve las métricas.</t>
  </si>
  <si>
    <t>HU-01, HU-02, HU-03, HU-05, HU-06, HU-07, HU-08, HU-10, HU-12, HU-15, HU-17, HU-18, HU-23</t>
  </si>
  <si>
    <t>1, 4, 5, 6, 7, 8, 10, 11, 12, 14, 15, 16</t>
  </si>
  <si>
    <t>Conexión, pruebas y cierre</t>
  </si>
  <si>
    <t>6 a 7</t>
  </si>
  <si>
    <t>Usar la app móvil conectada a la API, recibir alertas por filtros y ver su historial, entrar a la demostración en la nube y participar en la validación con usuarios.</t>
  </si>
  <si>
    <t>HU-04, HU-13, HU-14, HU-16, HU-19, HU-20, HU-21</t>
  </si>
  <si>
    <t>2, 3, 13, 18, 19</t>
  </si>
  <si>
    <t>Backlog sin sprint asignado</t>
  </si>
  <si>
    <t>Historias que aún no tienen tareas en ningún sprint: verificación en dos pasos del administrador (HU-09) y seguridad y auditoría (HU-22). El equipo decide si entran antes de la entrega. La configuración de reglas (HU-11) se descartó.</t>
  </si>
  <si>
    <t>Calendario de sprints</t>
  </si>
  <si>
    <t>HU-09, HU-11, HU-22</t>
  </si>
  <si>
    <t>Un ciclo por sprint. Los sprints se cruzan en fechas porque los tres integrantes trabajan en paralelo. El proyecto comenzó el 20-08-2026; el Sprint 7 termina el 04-11 y la entrega es el 05-11-2026.</t>
  </si>
  <si>
    <t>Inicio</t>
  </si>
  <si>
    <t>9, 17</t>
  </si>
  <si>
    <t>Sprint Goal</t>
  </si>
  <si>
    <t>Tareas</t>
  </si>
  <si>
    <t>Hechas</t>
  </si>
  <si>
    <t>Documentación fase 1: definir el problema, la idea, los requisitos y la evaluación económica</t>
  </si>
  <si>
    <t>Terminado</t>
  </si>
  <si>
    <t>Criterio</t>
  </si>
  <si>
    <t>Aplica a</t>
  </si>
  <si>
    <t>Cómo se verifica</t>
  </si>
  <si>
    <t>El código está en GitHub y otro integrante revisó y aprobó el pull request</t>
  </si>
  <si>
    <t>Tarea</t>
  </si>
  <si>
    <t>Pull request aprobado</t>
  </si>
  <si>
    <t>Cumple sus criterios de aceptación y se puede demostrar</t>
  </si>
  <si>
    <t>Historia</t>
  </si>
  <si>
    <t>Front-end móvil: construir las pantallas de la aplicación del inversionista</t>
  </si>
  <si>
    <t>Escenarios de la historia ejecutados</t>
  </si>
  <si>
    <t>Tiene pruebas automatizadas del caso normal y de al menos un caso de error, y pasan</t>
  </si>
  <si>
    <t>pytest / Playwright en verde</t>
  </si>
  <si>
    <t>No deja defectos críticos ni altos abiertos</t>
  </si>
  <si>
    <t>Registro de defectos</t>
  </si>
  <si>
    <t>Funciona con los datos de prueba en el ambiente de pruebas</t>
  </si>
  <si>
    <t>Ejecución en la base de prueba</t>
  </si>
  <si>
    <t>La documentación quedó al día (OpenAPI, README o informe)</t>
  </si>
  <si>
    <t>Revisión en la Review</t>
  </si>
  <si>
    <t>Respeta los criterios de seguridad y accesibilidad cuando aplican</t>
  </si>
  <si>
    <t>Checklist de la sección E</t>
  </si>
  <si>
    <t>El Product Owner la aceptó en la Sprint Review</t>
  </si>
  <si>
    <t>Incremento</t>
  </si>
  <si>
    <t>Validación A/R en la planilla</t>
  </si>
  <si>
    <t>Complemento: prototipo, procesos AS-IS y TO-BE, vistas 4+1, modelo de datos y secciones complementarias del informe</t>
  </si>
  <si>
    <t>Backend: base de datos, API, base en la nube conectada con la página web y carga automática de remates</t>
  </si>
  <si>
    <t>Front-end web: pantallas del inversionista, el administrador y el analista</t>
  </si>
  <si>
    <t>Conexión: conectar la app móvil (Android Studio) y la web con la API, y dejar la demostración en la nube</t>
  </si>
  <si>
    <t>Documentación fase 2 y cierre: pruebas, informe final y demostración</t>
  </si>
  <si>
    <t>Horas estimadas por integrante y sprint</t>
  </si>
  <si>
    <t>S1</t>
  </si>
  <si>
    <t>S2</t>
  </si>
  <si>
    <t>S3</t>
  </si>
  <si>
    <t>S4</t>
  </si>
  <si>
    <t>S5</t>
  </si>
  <si>
    <t>S6</t>
  </si>
  <si>
    <t>S7</t>
  </si>
  <si>
    <t>Disponibles</t>
  </si>
  <si>
    <t>Uso</t>
  </si>
  <si>
    <t>Sprint 3 · Complemento · 24-09 al 13-10-2026</t>
  </si>
  <si>
    <t>Sprint 2 · Front-end móvil · 07-09 al 03-10-2026</t>
  </si>
  <si>
    <t>Sprint 1 · Documentación fase 1 · 27-08 al 24-09-2026</t>
  </si>
  <si>
    <t>Ciclo: Front-end móvil · 27 días · trabaja: Basthian Bascuñan · plan del 04-10-2026 (un ciclo por sprint; los sprints se cruzan en fechas)</t>
  </si>
  <si>
    <t>Ciclo: Documentación fase 1 · 29 días · trabaja: Matías Negrete · plan del 04-10-2026 (un ciclo por sprint; los sprints se cruzan en fechas)</t>
  </si>
  <si>
    <t>Asistentes al Sprint Planning</t>
  </si>
  <si>
    <t>Historias comprometidas</t>
  </si>
  <si>
    <t>Sin historias de usuario: sprint de diseño y documentación</t>
  </si>
  <si>
    <t>Pantallas de HU-16; la historia se cierra en el Sprint 6, cuando la app se conecta con la API</t>
  </si>
  <si>
    <t>Capacidad del sprint (h)</t>
  </si>
  <si>
    <t>Sin historias de usuario: sprint de definición y documentación</t>
  </si>
  <si>
    <t>Total del sprint</t>
  </si>
  <si>
    <t>Horas estimadas</t>
  </si>
  <si>
    <t>Tareas comprometidas al inicio</t>
  </si>
  <si>
    <t>Fecha de corte</t>
  </si>
  <si>
    <t>Capacidad del sprint</t>
  </si>
  <si>
    <t>Sprint Backlog</t>
  </si>
  <si>
    <t>Avance día a día (✔ = tarea terminada)</t>
  </si>
  <si>
    <t>PO</t>
  </si>
  <si>
    <t>Relación</t>
  </si>
  <si>
    <t>Horas est.</t>
  </si>
  <si>
    <t>Horas reales</t>
  </si>
  <si>
    <t>Disponibles: 10 horas semanales durante las 11 semanas del proyecto (20-08 al 05-11-2026). La capacidad de cada sprint cuenta solo a quienes trabajan en él; como los sprints se cruzan, la carga real de cada persona se revisa en la fila de su nombre.</t>
  </si>
  <si>
    <t>PO
(A/R)</t>
  </si>
  <si>
    <t>Prototipo de la app pública (11 pantallas)</t>
  </si>
  <si>
    <t>Diseño</t>
  </si>
  <si>
    <t>A</t>
  </si>
  <si>
    <t>Prototipo del administrador (16 pantallas)</t>
  </si>
  <si>
    <t>Informe inicial: problema, idea de negocio y objetivos</t>
  </si>
  <si>
    <t>App: estructura del proyecto, navegación y estilos del prototipo</t>
  </si>
  <si>
    <t>Semáforo del informe en las pantallas y rol Analista</t>
  </si>
  <si>
    <t>Procesos AS-IS y TO-BE en BPMN (20 diagramas)</t>
  </si>
  <si>
    <t>App: pantallas de inicio de sesión y registro</t>
  </si>
  <si>
    <t>HU-16 · HU-01</t>
  </si>
  <si>
    <t>Plan A y mapa mental</t>
  </si>
  <si>
    <t>Vistas 4+1 en draw.io (6 páginas)</t>
  </si>
  <si>
    <t>App: pantalla de inicio</t>
  </si>
  <si>
    <t>Informe: UX/UI, seguridad e integraciones</t>
  </si>
  <si>
    <t>App: pantallas de guardados y notificaciones</t>
  </si>
  <si>
    <t>HU-16 · HU-07</t>
  </si>
  <si>
    <t>Informe: secciones F a M y Conclusión</t>
  </si>
  <si>
    <t>Mejora general del informe: actores, visión y alcance</t>
  </si>
  <si>
    <t>Modelo de base de datos: diagrama ER y script SQL de referencia</t>
  </si>
  <si>
    <t>App: pantalla de perfil</t>
  </si>
  <si>
    <t>Informe: secciones E, F, G y H con planilla de tablas</t>
  </si>
  <si>
    <t>Requisitos y justificación de las decisiones (secciones A, B, C y D)</t>
  </si>
  <si>
    <t>Documentos de dirección del proyecto (12 plantillas: acta, alcance, EDT, presupuesto y planes)</t>
  </si>
  <si>
    <t>App: pantallas de catálogo y detalle con semáforo</t>
  </si>
  <si>
    <t>HU-16 · HU-02</t>
  </si>
  <si>
    <t>Flujo de caja corregido: VAN, TIR y punto de equilibrio</t>
  </si>
  <si>
    <t>Evaluación económica</t>
  </si>
  <si>
    <t>Respaldo de mercado: oferta de remates, morosidad y competencia</t>
  </si>
  <si>
    <t>App: revisión del front-end completo en el emulador</t>
  </si>
  <si>
    <t>Scrum Board · sprints en curso (3, 5, 6) al 04-10-2026</t>
  </si>
  <si>
    <t>Burndown del sprint</t>
  </si>
  <si>
    <t>Por hacer (11)</t>
  </si>
  <si>
    <t>En curso (5)</t>
  </si>
  <si>
    <t>Hecho (17)</t>
  </si>
  <si>
    <t>Día</t>
  </si>
  <si>
    <t>S5 · 8. Panel del administrador: resumen de los últimos 7 días
Entregable 15 · José P.</t>
  </si>
  <si>
    <t>Fecha</t>
  </si>
  <si>
    <t>Ideal</t>
  </si>
  <si>
    <t>Pendientes</t>
  </si>
  <si>
    <t>S3 · 10. Documentos de dirección del proyecto (12 plantillas: acta, alcance, EDT, presupuesto y planes)
Documentación · Matías N.</t>
  </si>
  <si>
    <t>inicio</t>
  </si>
  <si>
    <t>S3 · 1. Prototipo de la app pública (11 pantallas)
Diseño · Matías N. · 25-09</t>
  </si>
  <si>
    <t>S5 · 9. Anuncios del administrador y notificaciones del inversionista
HU-18 · HU-14 · José P.</t>
  </si>
  <si>
    <t>S5 · 10. Perfil del inversionista y cambio de contraseña
HU-12 · José P.</t>
  </si>
  <si>
    <t>S3 · 2. Prototipo del administrador (16 pantallas)
Diseño · Matías N. · 27-09</t>
  </si>
  <si>
    <t>S5 · 13. Encabezado de la web en celular
DEF-07 · José P.</t>
  </si>
  <si>
    <t>S5 · 11. Mapa de remates por comuna
HU-15 · Basthian B.</t>
  </si>
  <si>
    <t>S3 · 3. Semáforo del informe en las pantallas y rol Analista
Diseño · Matías N. · 28-09</t>
  </si>
  <si>
    <t>S5 · 14. Sprint Review
Equipo · José P.</t>
  </si>
  <si>
    <t>S5 · 12. Panel del analista: resumen, subastas, usuarios y alcance
HU-17 · Basthian B.</t>
  </si>
  <si>
    <t>S3 · 4. Procesos AS-IS y TO-BE en BPMN (20 diagramas)
Diseño · Matías N. · 28-09</t>
  </si>
  <si>
    <t>S6 · 2. App: abrir el proyecto en Android Studio y conectarlo con la API (emulador y celular)
HU-16 · HU-04 · Basthian B.</t>
  </si>
  <si>
    <t>S6 · 8. Pruebas de integración: registro, login, catálogo y semáforo (pytest + httpx)
HU-19 · José P.</t>
  </si>
  <si>
    <t>S3 · 5. Vistas 4+1 en draw.io (6 páginas)
Diseño · Matías N. · 28-09</t>
  </si>
  <si>
    <t>S6 · 3. App: registro e inicio de sesión contra la API (token)
HU-16 · HU-01 · Basthian B.</t>
  </si>
  <si>
    <t>S3 · 6. Informe: UX/UI, seguridad e integraciones
Documentación · Matías N. · 28-09</t>
  </si>
  <si>
    <t>S6 · 4. App: catálogo y detalle con los datos de la API
HU-16 · HU-02 · Basthian B.</t>
  </si>
  <si>
    <t>S3 · 7. Informe: secciones F a M y Conclusión
Documentación · Matías N. · 29-09</t>
  </si>
  <si>
    <t>S6 · 5. App: guardados y notificaciones desde la API
HU-16 · HU-07 · Basthian B.</t>
  </si>
  <si>
    <t>S3 · 8. Modelo de base de datos: diagrama ER y script SQL de referencia
Documentación · Matías N. · 29-09</t>
  </si>
  <si>
    <t>S6 · 6. Web: alertas desde la API (reemplaza los datos de prueba del navegador)
HU-13 · José P.</t>
  </si>
  <si>
    <t>S3 · 9. Informe: secciones E, F, G y H con planilla de tablas
Documentación · Matías N. · 04-10</t>
  </si>
  <si>
    <t>24-09</t>
  </si>
  <si>
    <t>S6 · 7. Despliegue de demostración (API, base de datos y web)
HU-20 · José P.</t>
  </si>
  <si>
    <t>S5 · 1. Sesión en la web: login, token y /auth/me
HU-01 · José P. · 29-09</t>
  </si>
  <si>
    <t>S6 · 9. Sprint Review
Equipo · José P.</t>
  </si>
  <si>
    <t>S5 · 2. Catálogo con filtros y detalle de propiedad en la web
HU-02 · HU-06 · DEF-04 · José P. · 29-09</t>
  </si>
  <si>
    <t>S5 · 3. Guardados por API en la web (/favoritos)
HU-07 · José P. · 29-09</t>
  </si>
  <si>
    <t>S5 · 4. Menú del administrador: Panel, Publicaciones, Opiniones y Anuncios
HU-23 · José P. · 29-09</t>
  </si>
  <si>
    <t>25-09</t>
  </si>
  <si>
    <t>S5 · 5. Opiniones: envío del inversionista y respuesta del administrador
HU-18 · José P. · 03-10</t>
  </si>
  <si>
    <t>S5 · 6. Publicaciones del administrador con vistas y guardados
HU-23 · José P. · 30-09</t>
  </si>
  <si>
    <t>S5 · 7. Catálogo: ordenar por fecha de remate (más próximo primero)
HU-06 · José P. · 03-10</t>
  </si>
  <si>
    <t>26-09</t>
  </si>
  <si>
    <t>S6 · 1. Corrección de DEF-03: crear la propiedad en una sola transacción
HU-03 · José P. · 04-10</t>
  </si>
  <si>
    <t>27-09</t>
  </si>
  <si>
    <t>28-09</t>
  </si>
  <si>
    <t>29-09</t>
  </si>
  <si>
    <t>30-09</t>
  </si>
  <si>
    <t>01-10</t>
  </si>
  <si>
    <t>02-10</t>
  </si>
  <si>
    <t>03-10</t>
  </si>
  <si>
    <t>04-10</t>
  </si>
  <si>
    <t>05-10</t>
  </si>
  <si>
    <t>07-09</t>
  </si>
  <si>
    <t>06-10</t>
  </si>
  <si>
    <t>08-09</t>
  </si>
  <si>
    <t>07-10</t>
  </si>
  <si>
    <t>09-09</t>
  </si>
  <si>
    <t>08-10</t>
  </si>
  <si>
    <t>10-09</t>
  </si>
  <si>
    <t>09-10</t>
  </si>
  <si>
    <t>10-10</t>
  </si>
  <si>
    <t>11-09</t>
  </si>
  <si>
    <t>12-09</t>
  </si>
  <si>
    <t>11-10</t>
  </si>
  <si>
    <t>13-09</t>
  </si>
  <si>
    <t>12-10</t>
  </si>
  <si>
    <t>27-08</t>
  </si>
  <si>
    <t>14-09</t>
  </si>
  <si>
    <t>13-10</t>
  </si>
  <si>
    <t>15-09</t>
  </si>
  <si>
    <t>28-08</t>
  </si>
  <si>
    <t>16-09</t>
  </si>
  <si>
    <t>29-08</t>
  </si>
  <si>
    <t>17-09</t>
  </si>
  <si>
    <t>30-08</t>
  </si>
  <si>
    <t>18-09</t>
  </si>
  <si>
    <t>19-09</t>
  </si>
  <si>
    <t>31-08</t>
  </si>
  <si>
    <t>20-09</t>
  </si>
  <si>
    <t>01-09</t>
  </si>
  <si>
    <t>21-09</t>
  </si>
  <si>
    <t>02-09</t>
  </si>
  <si>
    <t>22-09</t>
  </si>
  <si>
    <t>03-09</t>
  </si>
  <si>
    <t>23-09</t>
  </si>
  <si>
    <t>04-09</t>
  </si>
  <si>
    <t>05-09</t>
  </si>
  <si>
    <t>06-09</t>
  </si>
  <si>
    <t>Daily Meetings · del 24-09 al 13-10-2026</t>
  </si>
  <si>
    <t>Avance registrado (tareas terminadas)</t>
  </si>
  <si>
    <t>Asistentes</t>
  </si>
  <si>
    <t>¿Qué se hará hoy?</t>
  </si>
  <si>
    <t>Impedimentos</t>
  </si>
  <si>
    <t>Acuerdos</t>
  </si>
  <si>
    <t>jue</t>
  </si>
  <si>
    <t>• S1 · Respaldo de mercado: oferta de remates, morosidad y competencia</t>
  </si>
  <si>
    <t>vie</t>
  </si>
  <si>
    <t>• S3 · Prototipo de la app pública (11 pantallas)</t>
  </si>
  <si>
    <t>sáb</t>
  </si>
  <si>
    <t>Sin tareas terminadas</t>
  </si>
  <si>
    <t>dom</t>
  </si>
  <si>
    <t>• S2 · App: pantallas de guardados y notificaciones
• S3 · Prototipo del administrador (16 pantallas)</t>
  </si>
  <si>
    <t>lun</t>
  </si>
  <si>
    <t>• S3 · Semáforo del informe en las pantallas y rol Analista
• S3 · Procesos AS-IS y TO-BE en BPMN (20 diagramas)
• S3 · Vistas 4+1 en draw.io (6 páginas)
• S3 · Informe: UX/UI, seguridad e integraciones
• S4 · Semáforo: diagnóstico de las 7 propiedades de prueba y umbrales de estado legal</t>
  </si>
  <si>
    <t>mar</t>
  </si>
  <si>
    <t>• S3 · Informe: secciones F a M y Conclusión
• S3 · Modelo de base de datos: diagrama ER y script SQL de referencia
• S4 · Registro de vistas: tabla property_views y POST /vista
• S5 · Sesión en la web: login, token y /auth/me
• S5 · Catálogo con filtros y detalle de propiedad en la web
• S5 · Guardados por API en la web (/favoritos)
• S5 · Menú del administrador: Panel, Publicaciones, Opiniones y Anuncios</t>
  </si>
  <si>
    <t>mié</t>
  </si>
  <si>
    <t>• S2 · App: pantalla de perfil
• S4 · API del administrador: publicaciones con vistas y guardados, detalle y descripción
• S4 · Fotos: tabla property_photos y API para subir, borrar, ordenar y mostrar
• S5 · Publicaciones del administrador con vistas y guardados</t>
  </si>
  <si>
    <t>• S4 · Correcciones del guardado: evaluación al guardar (DEF-01) y duplicados (DEF-02)</t>
  </si>
  <si>
    <t>• S4 · Base de datos en la nube conectada con la página web</t>
  </si>
  <si>
    <t>• S2 · App: pantallas de catálogo y detalle con semáforo
• S2 · App: revisión del front-end completo en el emulador
• S4 · Base de datos y API: fecha del remate y tipo extrajudicial
• S4 · Carga automática de remates (scrapeo de rematesinmobiliarios.cl), sin duplicados
• S4 · Sprint Review de los sprints 2 y 4
• S5 · Opiniones: envío del inversionista y respuesta del administrador
• S5 · Catálogo: ordenar por fecha de remate (más próximo primero)</t>
  </si>
  <si>
    <t>• S3 · Informe: secciones E, F, G y H con planilla de tablas
• S6 · Corrección de DEF-03: crear la propiedad en una sola transacción</t>
  </si>
  <si>
    <t>Detectado</t>
  </si>
  <si>
    <t>Impedimento</t>
  </si>
  <si>
    <t>Afecta a</t>
  </si>
  <si>
    <t>Acción</t>
  </si>
  <si>
    <t>Cierre</t>
  </si>
  <si>
    <t>IMP-01</t>
  </si>
  <si>
    <t>El SII no muestra la superficie del departamento de prueba (rol vigente aún sin visualización en Mapas SII); el m² no se puede automatizar desde esa fuente.</t>
  </si>
  <si>
    <t>HU-03 · HU-10</t>
  </si>
  <si>
    <t>Tomar el m² del aviso cuando aparezca, que lo cargue el equipo o que lo ingrese el inversionista; decidir en la Sprint Review del 13-10.</t>
  </si>
  <si>
    <t>Abierto</t>
  </si>
  <si>
    <t>IMP-02</t>
  </si>
  <si>
    <t>El principal portal de venta de propiedades bloquea la lectura automática (robots.txt y protección anti-bots): no hay comparables automáticos.</t>
  </si>
  <si>
    <t>Evaluar para el MVP una tabla de valor en UF por m² por comuna, actualizada a mano con informes públicos.</t>
  </si>
  <si>
    <t>En evaluación</t>
  </si>
  <si>
    <t>IMP-03</t>
  </si>
  <si>
    <t>Dos propiedades de prueba quedaron sin evaluación después de guardarlas.</t>
  </si>
  <si>
    <t>Registrado como DEF-01; corregido el 01-10 (falta la re-prueba del caso CP-12).</t>
  </si>
  <si>
    <t>Cerrado</t>
  </si>
  <si>
    <t>IMP-04</t>
  </si>
  <si>
    <t xml:space="preserve">rematesinmobiliarios.cl, la fuente de la carga automática, no contiene la data explicita, ademas no constesta la solicutd enviada sobre la autorizacion para realizar el scrapeo </t>
  </si>
  <si>
    <t xml:space="preserve">Dejar evidencia de la solicitud, y darse a explicar a detalles los fines que tiene esta intervencion. </t>
  </si>
  <si>
    <t>Evidencias técnicas</t>
  </si>
  <si>
    <t>Tipo</t>
  </si>
  <si>
    <t>Archivo o ubicación</t>
  </si>
  <si>
    <t>Informe: versión inicial</t>
  </si>
  <si>
    <t>Documento</t>
  </si>
  <si>
    <t>Informe del proyecto (27-08)</t>
  </si>
  <si>
    <t>Informe: plan A y mapa mental</t>
  </si>
  <si>
    <t>Informe del proyecto (29-08)</t>
  </si>
  <si>
    <t>Informe: mejora general</t>
  </si>
  <si>
    <t>Informe del proyecto (31-08)</t>
  </si>
  <si>
    <t>Informe: justificación de requisitos y decisiones</t>
  </si>
  <si>
    <t>Informe del proyecto (22-09)</t>
  </si>
  <si>
    <t>Flujo de caja corregido: VAN +$1.512.012, TIR 20,8 %, equilibrio 17 clientes</t>
  </si>
  <si>
    <t>Planilla</t>
  </si>
  <si>
    <t>Flujo de caja HouseGreen</t>
  </si>
  <si>
    <t>Respaldo de mercado: 1.152 remates activos, morosidad 2,3 %, competencia</t>
  </si>
  <si>
    <t>Respaldo de mercado HouseGreen</t>
  </si>
  <si>
    <t>HouseGreen-pantallas-app.zip</t>
  </si>
  <si>
    <t>Procesos AS-IS y TO-BE (20 diagramas BPMN)</t>
  </si>
  <si>
    <t>Diagrama</t>
  </si>
  <si>
    <t>HouseGreen-procesos-AS-IS-TO-BE.zip</t>
  </si>
  <si>
    <t>Vistas 4+1 (6 páginas)</t>
  </si>
  <si>
    <t>HouseGreen-vistas-4+1.drawio</t>
  </si>
  <si>
    <t>Umbrales de estado legal corregidos: 1, 2, 3 y 4 gravámenes dan 2, 1, 1 y 0 puntos</t>
  </si>
  <si>
    <t>Base de datos</t>
  </si>
  <si>
    <t>Base del proyecto (semaforo_thresholds)</t>
  </si>
  <si>
    <t>GET /auth/me y sesión en la web (AuthContext, ProtectedRoute)</t>
  </si>
  <si>
    <t>Código</t>
  </si>
  <si>
    <t>housegreen-api · housegreen-web/src</t>
  </si>
  <si>
    <t>Detalle de propiedad compilando con los datos de la API</t>
  </si>
  <si>
    <t>PropertyDetailPage</t>
  </si>
  <si>
    <t>Guardados por API (GET, POST y DELETE /favoritos)</t>
  </si>
  <si>
    <t>FavoritesContext</t>
  </si>
  <si>
    <t>Registro de vistas: property_views y POST /propiedades/{id}/vista</t>
  </si>
  <si>
    <t>Código y base de datos</t>
  </si>
  <si>
    <t>API y base del proyecto</t>
  </si>
  <si>
    <t>Menú del administrador con rutas anidadas</t>
  </si>
  <si>
    <t>src/pages/admin/AdminLayout.tsx</t>
  </si>
  <si>
    <t>Diagrama ER y script SQL de referencia (29 tablas)</t>
  </si>
  <si>
    <t>Diagrama y SQL</t>
  </si>
  <si>
    <t>HouseGreen-modelo-base-de-datos.drawio · housegreen_bd.sql</t>
  </si>
  <si>
    <t>Casos CP-07, CP-10 y CP-11 aprobados en el modelo de referencia</t>
  </si>
  <si>
    <t>Prueba</t>
  </si>
  <si>
    <t>housegreen_bd.sql + datos de prueba (PostgreSQL 16)</t>
  </si>
  <si>
    <t>Procesos AS-IS y TO-BE corregidos: un inicio y un fin por diagrama</t>
  </si>
  <si>
    <t>HouseGreen-Diagramas-un-inicio-un-fin.zip</t>
  </si>
  <si>
    <t>Vistas 4+1, versión simplificada</t>
  </si>
  <si>
    <t>HouseGreen-vistas-4+1-simple.drawio</t>
  </si>
  <si>
    <t>API del administrador y fotos de las publicaciones (property_photos)</t>
  </si>
  <si>
    <t>housegreen-api</t>
  </si>
  <si>
    <t>Base de datos en la nube conectada con la página web</t>
  </si>
  <si>
    <t>PostgreSQL en la nube · housegreen-web</t>
  </si>
  <si>
    <t>Carga automática: 444 remates reales de 45 comunas desde rematesinmobiliarios.cl</t>
  </si>
  <si>
    <t>housegreen-api/app/scraper</t>
  </si>
  <si>
    <t>Opiniones: envío del inversionista y respuesta del administrador</t>
  </si>
  <si>
    <t>housegreen-web</t>
  </si>
  <si>
    <t>Front-end de la aplicación móvil terminado</t>
  </si>
  <si>
    <t>Proyecto de la app (Android Studio)</t>
  </si>
  <si>
    <t>Sección H · Ejecución iterativa (sprints) · estado al 04-10-2026</t>
  </si>
  <si>
    <t>Incremento presentado</t>
  </si>
  <si>
    <t>Decisiones</t>
  </si>
  <si>
    <t>PO (A/R)</t>
  </si>
  <si>
    <t>1</t>
  </si>
  <si>
    <t>Informe de la fase 1: problema, mapa mental, actores, visión, requisitos justificados, flujo de caja corregido y respaldo de mercado</t>
  </si>
  <si>
    <t>2 y 4</t>
  </si>
  <si>
    <t>Front-end de la app terminado; base de datos en la nube conectada con la página web (02-10), API del administrador, fotos y carga automática de 444 remates (03-10)</t>
  </si>
  <si>
    <t>Por decidir: origen del m² (IMP-01), comparables (IMP-02) y autorización de la fuente de datos (IMP-04)</t>
  </si>
  <si>
    <t>3 y 5</t>
  </si>
  <si>
    <t>Prototipo (31 pantallas), BPMN, vistas 4+1, modelo de datos e informe; en la web: sesión, catálogo, detalle, guardados y opiniones</t>
  </si>
  <si>
    <t>6</t>
  </si>
  <si>
    <t>App y web conectadas con la API; demostración en la nube</t>
  </si>
  <si>
    <t>7</t>
  </si>
  <si>
    <t>Pruebas, informe final y presentación</t>
  </si>
  <si>
    <t>Feedback del mandante y los usuarios</t>
  </si>
  <si>
    <t>Quién</t>
  </si>
  <si>
    <t>Comentario</t>
  </si>
  <si>
    <t>Acción en el backlog</t>
  </si>
  <si>
    <t>El administrador no crea propiedades (entran por la ingesta) y solo edita fotos y descripción; su menú no incluye las reglas del semáforo.</t>
  </si>
  <si>
    <t>Se descarta la tarea del formulario (DEF-05); se revisa el alcance de HU-11 y RF-10</t>
  </si>
  <si>
    <t>Aplicado</t>
  </si>
  <si>
    <t>Semáforo preliminar: estado legal y deudas se muestran «Por verificar» con enlaces a las fuentes hasta que se carguen.</t>
  </si>
  <si>
    <t>Actualizar la regla de completitud en el informe</t>
  </si>
  <si>
    <t>Pendiente</t>
  </si>
  <si>
    <t>El administrador debe ver quién vio y quién guardó cada publicación para enviarles anuncios.</t>
  </si>
  <si>
    <t>Nueva historia HU-23</t>
  </si>
  <si>
    <t>Retrospectivas</t>
  </si>
  <si>
    <t>Retrospectiva del Sprint 1 (Documentación fase 1)</t>
  </si>
  <si>
    <t>Respuesta del equipo</t>
  </si>
  <si>
    <t xml:space="preserve">¿Qué salió bien en la iteración? </t>
  </si>
  <si>
    <t>1. Se definió el problema y la idea en la primera semana: tres versiones del informe entre el 27 y el 31-08.
2. Requisitos justificados con fuentes (22-09).
3. Se corrigió el flujo de caja.</t>
  </si>
  <si>
    <t xml:space="preserve">¿Qué no salió bien en la iteración? </t>
  </si>
  <si>
    <t>1. No se registraron las tareas ni las horas de cada día, por lo que el avance se reconstruyó con las versiones del informe.
2. La planilla del flujo de caja tenía un error en el cálculo del VAN que se detectó al final.</t>
  </si>
  <si>
    <t xml:space="preserve">¿Qué mejoras vamos a implementar en la próxima iteración? </t>
  </si>
  <si>
    <t>1. Registrar cada tarea con su fecha de término y actualizar el tablero en la Daily.
2. Que otra persona revise las fórmulas antes de entregar.
3. Cerrar la investigación antes del último día del sprint.</t>
  </si>
  <si>
    <t>Retrospectiva de los sprints 2 y 4 (Front-end móvil y Backend)</t>
  </si>
  <si>
    <t>1. Avance del código paso a paso, probando cada cambio antes de seguir.
2. Los errores encontrados quedaron registrados como defectos.
3. La base de datos quedó conectada con la página web (02-10) y la carga automática trajo 444 remates reales (03-10).</t>
  </si>
  <si>
    <t>1. Aún no hay pruebas automatizadas.
2. Las tareas de desarrollo no se registraron día a día: sus fechas se reconstruyeron al cierre.</t>
  </si>
  <si>
    <t>1. Planificar también los pasos de desarrollo en el Sprint Planning.
2. Escribir la prueba automática junto con cada cambio.
3. Registrar cada tarea el día en que se termina.</t>
  </si>
  <si>
    <t>Retrospectiva del Sprint 3 (Complemento), al 04-10</t>
  </si>
  <si>
    <t>1. Diseño completo en cinco días: 31 pantallas, 20 diagramas BPMN y 6 vistas 4+1.</t>
  </si>
  <si>
    <t>1. El semáforo del prototipo no coincidía con el del informe y hubo que rehacer pantallas (28-09).
2. Entraron tareas no planificadas al sprint.</t>
  </si>
  <si>
    <t>1. Acordar las reglas de negocio antes de diseñar pantallas.</t>
  </si>
  <si>
    <t>Sprint 4 · Backend · 07-09 al 03-10-2026</t>
  </si>
  <si>
    <t>Sprint 6 · Conexión · 04-10 al 24-10-2026</t>
  </si>
  <si>
    <t>Sprint 5 · Front-end web · 24-09 al 13-10-2026</t>
  </si>
  <si>
    <t>Ciclo: Backend · 27 días · trabajan: José Pizarro y Matías Negrete · plan del 04-10-2026 (un ciclo por sprint; los sprints se cruzan en fechas)</t>
  </si>
  <si>
    <t>Ciclo: Conexión · 21 días · trabajan: Basthian Bascuñan y José Pizarro · plan del 04-10-2026 (un ciclo por sprint; los sprints se cruzan en fechas)</t>
  </si>
  <si>
    <t>HU-01, HU-03, HU-05, HU-08, HU-10 y HU-23</t>
  </si>
  <si>
    <t>HU-02, HU-06, HU-07, HU-12, HU-15, HU-17 y HU-18</t>
  </si>
  <si>
    <t>HU-04, HU-13, HU-14, HU-16, HU-19 y HU-20</t>
  </si>
  <si>
    <t>Sprint 7 · Documentación fase 2 y cierre · 25-10 al 04-11-2026</t>
  </si>
  <si>
    <t>HU-19 y HU-21; cierre de la documentación</t>
  </si>
  <si>
    <t>Sesión en la web: login, token y /auth/me</t>
  </si>
  <si>
    <t>Corrección de DEF-03: crear la propiedad en una sola transacción</t>
  </si>
  <si>
    <t>Catálogo con filtros y detalle de propiedad en la web</t>
  </si>
  <si>
    <t>HU-02 · HU-06 · DEF-04</t>
  </si>
  <si>
    <t>Base de datos: modelo de datos y reglas del semáforo</t>
  </si>
  <si>
    <t>Técnica</t>
  </si>
  <si>
    <t>App: abrir el proyecto en Android Studio y conectarlo con la API (emulador y celular)</t>
  </si>
  <si>
    <t>HU-16 · HU-04</t>
  </si>
  <si>
    <t>Guardados por API en la web (/favoritos)</t>
  </si>
  <si>
    <t>App: registro e inicio de sesión contra la API (token)</t>
  </si>
  <si>
    <t>Menú del administrador: Panel, Publicaciones, Opiniones y Anuncios</t>
  </si>
  <si>
    <t>Base de datos: creación de las tablas y carga de las comunas en PostgreSQL</t>
  </si>
  <si>
    <t>App: catálogo y detalle con los datos de la API</t>
  </si>
  <si>
    <t>Actualizar el informe: fuente de datos, calendario de sprints y reglas nuevas del semáforo</t>
  </si>
  <si>
    <t>App: guardados y notificaciones desde la API</t>
  </si>
  <si>
    <t>API: registro, inicio de sesión, propiedades y comunas</t>
  </si>
  <si>
    <t>HU-01 · HU-02</t>
  </si>
  <si>
    <t>Web: alertas desde la API (reemplaza los datos de prueba del navegador)</t>
  </si>
  <si>
    <t>Publicaciones del administrador con vistas y guardados</t>
  </si>
  <si>
    <t>Guía del estudiante 2.4 e Informe final 2.6 del Proyecto APT</t>
  </si>
  <si>
    <t>Semáforo: diagnóstico de las 7 propiedades de prueba y umbrales de estado legal</t>
  </si>
  <si>
    <t>HU-03 · DEF-06</t>
  </si>
  <si>
    <t>Despliegue de demostración (API, base de datos y web)</t>
  </si>
  <si>
    <t>Catálogo: ordenar por fecha de remate (más próximo primero)</t>
  </si>
  <si>
    <t>Presentación final y demostración</t>
  </si>
  <si>
    <t>Registro de vistas: tabla property_views y POST /vista</t>
  </si>
  <si>
    <t>Ejecutar los casos de prueba pendientes, las re-pruebas y el informe de pruebas</t>
  </si>
  <si>
    <t>Pruebas de integración: registro, login, catálogo y semáforo (pytest + httpx)</t>
  </si>
  <si>
    <t>Pruebas de la app en el celular y en el emulador</t>
  </si>
  <si>
    <t>Panel del administrador: resumen de los últimos 7 días</t>
  </si>
  <si>
    <t>Equipo</t>
  </si>
  <si>
    <t>HU-16 · HU-19</t>
  </si>
  <si>
    <t>Entregable 15</t>
  </si>
  <si>
    <t>API del administrador: publicaciones con vistas y guardados, detalle y descripción</t>
  </si>
  <si>
    <t>HU-23 · HU-08</t>
  </si>
  <si>
    <t>Corregir los defectos que aparezcan en las pruebas de la app</t>
  </si>
  <si>
    <t>Defectos</t>
  </si>
  <si>
    <t>Anuncios del administrador y notificaciones del inversionista</t>
  </si>
  <si>
    <t>HU-18 · HU-14</t>
  </si>
  <si>
    <t>Fotos: tabla property_photos y API para subir, borrar, ordenar y mostrar</t>
  </si>
  <si>
    <t>HU-08 · HU-02</t>
  </si>
  <si>
    <t>Validación con 5 usuarios (escala SUS)</t>
  </si>
  <si>
    <t>Perfil del inversionista y cambio de contraseña</t>
  </si>
  <si>
    <t>Sprint Review y retrospectiva final</t>
  </si>
  <si>
    <t>Correcciones del guardado: evaluación al guardar (DEF-01) y duplicados (DEF-02)</t>
  </si>
  <si>
    <t>Mapa de remates por comuna</t>
  </si>
  <si>
    <t>14-10</t>
  </si>
  <si>
    <t>Panel del analista: resumen, subastas, usuarios y alcance</t>
  </si>
  <si>
    <t>15-10</t>
  </si>
  <si>
    <t>16-10</t>
  </si>
  <si>
    <t>17-10</t>
  </si>
  <si>
    <t>18-10</t>
  </si>
  <si>
    <t>19-10</t>
  </si>
  <si>
    <t>20-10</t>
  </si>
  <si>
    <t>Encabezado de la web en celular</t>
  </si>
  <si>
    <t>DEF-07</t>
  </si>
  <si>
    <t>21-10</t>
  </si>
  <si>
    <t>22-10</t>
  </si>
  <si>
    <t>23-10</t>
  </si>
  <si>
    <t>24-10</t>
  </si>
  <si>
    <t>25-10</t>
  </si>
  <si>
    <t>Base de datos y API: fecha del remate y tipo extrajudicial</t>
  </si>
  <si>
    <t>26-10</t>
  </si>
  <si>
    <t>27-10</t>
  </si>
  <si>
    <t>28-10</t>
  </si>
  <si>
    <t>29-10</t>
  </si>
  <si>
    <t>30-10</t>
  </si>
  <si>
    <t>31-10</t>
  </si>
  <si>
    <t>01-11</t>
  </si>
  <si>
    <t>02-11</t>
  </si>
  <si>
    <t>Carga automática de remates (scrapeo de rematesinmobiliarios.cl), sin duplicados</t>
  </si>
  <si>
    <t>03-11</t>
  </si>
  <si>
    <t>04-11</t>
  </si>
  <si>
    <t>Sprint Review de los sprints 2 y 4</t>
  </si>
  <si>
    <t>Elemento</t>
  </si>
  <si>
    <t>Definición</t>
  </si>
  <si>
    <t>Objetivo</t>
  </si>
  <si>
    <t>Comprobar que HouseGreen cumple los requisitos funcionales y no funcionales y que el semáforo clasifica sin errores lógicos.</t>
  </si>
  <si>
    <t>Alcance</t>
  </si>
  <si>
    <t>Motor de reglas, API REST, web, app, ingesta, seguridad y requisitos no funcionales (rendimiento, carga, concurrencia, latencia, disponibilidad, accesibilidad, usabilidad y geolocalización).</t>
  </si>
  <si>
    <t>Fuera de alcance</t>
  </si>
  <si>
    <t>Pagos en línea, integración con servicios de IA y datos de fuentes oficiales no disponibles para el MVP.</t>
  </si>
  <si>
    <t>Estrategia</t>
  </si>
  <si>
    <t>Pirámide de pruebas: muchas pruebas unitarias, algunas de integración y de API, y pocas de extremo a extremo. Las reglas del semáforo se prueban en los bordes de cada umbral y cada defecto corregido suma una prueba para que no vuelva.</t>
  </si>
  <si>
    <t>Tipos de prueba</t>
  </si>
  <si>
    <t>Unitarias, integración, API, reglas de negocio, funcionales, seguridad, rendimiento, carga, concurrencia, accesibilidad, usabilidad y geolocalización.</t>
  </si>
  <si>
    <t>Ambiente</t>
  </si>
  <si>
    <t>Base PostgreSQL de prueba creada con los scripts del proyecto (52 comunas y propiedades de prueba); ambiente de demostración en la nube para las pruebas no funcionales.</t>
  </si>
  <si>
    <t>Herramientas</t>
  </si>
  <si>
    <t>pytest + httpx (API), Playwright (web), Locust (rendimiento y carga), Lighthouse y axe (accesibilidad), OWASP ZAP (seguridad) y cuestionario SUS.</t>
  </si>
  <si>
    <t>Datos de prueba</t>
  </si>
  <si>
    <t>Propiedades del prototipo con resultado conocido: verde 8/10, amarilla 6/10, roja por veto y roja sin puntaje.</t>
  </si>
  <si>
    <t>Responsables</t>
  </si>
  <si>
    <t>José Pizarro coordina, registra y automatiza las pruebas de la web y la API; Basthian Bascuñan prueba la app y hace la validación con usuarios; Matías Negrete valida contra los criterios de aceptación.</t>
  </si>
  <si>
    <t>Calendario</t>
  </si>
  <si>
    <t>Pruebas de cada historia dentro de su sprint; pruebas de integración en el Sprint 6; pruebas no funcionales, de la app y de usabilidad con usuarios en el Sprint 7.</t>
  </si>
  <si>
    <t>Criterios de entrada</t>
  </si>
  <si>
    <t>La historia cumple la parte de desarrollo de la Definition of Done, el código compila y los datos de prueba están cargados.</t>
  </si>
  <si>
    <t>Criterios de salida</t>
  </si>
  <si>
    <t>100 % de los casos críticos aprobados, al menos 90 % del total aprobado y ningún defecto crítico o alto abierto.</t>
  </si>
  <si>
    <t>Criterios de suspensión</t>
  </si>
  <si>
    <t>Se suspende si el ambiente no está disponible o si un defecto crítico bloquea la mayoría de los casos; se retoma al corregirlo.</t>
  </si>
  <si>
    <t>Cada fallo se registra con severidad, corrección, re-prueba y estado en el registro de defectos.</t>
  </si>
  <si>
    <t>Requisito</t>
  </si>
  <si>
    <t>HU</t>
  </si>
  <si>
    <t>Crítico</t>
  </si>
  <si>
    <t>Caso</t>
  </si>
  <si>
    <t>Resultado obtenido</t>
  </si>
  <si>
    <t>Defecto</t>
  </si>
  <si>
    <t>CP-01</t>
  </si>
  <si>
    <t>Funcional</t>
  </si>
  <si>
    <t>Sí</t>
  </si>
  <si>
    <t>Registro con correo y contraseña válidos</t>
  </si>
  <si>
    <t>Cuenta creada con rol inversionista; contraseña guardada como hash bcrypt</t>
  </si>
  <si>
    <t>CP-02</t>
  </si>
  <si>
    <t>No</t>
  </si>
  <si>
    <t>Registro con un correo ya usado</t>
  </si>
  <si>
    <t>Rechazo con mensaje claro; no se crea otra cuenta</t>
  </si>
  <si>
    <t>Pruebas funcionales: resumen</t>
  </si>
  <si>
    <t>CP-03</t>
  </si>
  <si>
    <t>Seguridad</t>
  </si>
  <si>
    <t>Funcionalidad</t>
  </si>
  <si>
    <t>Inicio de sesión con contraseña incorrecta</t>
  </si>
  <si>
    <t>Casos</t>
  </si>
  <si>
    <t>Respuesta 401 sin indicar si el correo existe</t>
  </si>
  <si>
    <t>Aprobados</t>
  </si>
  <si>
    <t>Fallidos</t>
  </si>
  <si>
    <t>CP-04</t>
  </si>
  <si>
    <t>Anulados</t>
  </si>
  <si>
    <t>El administrador ingresa un código TOTP vencido o ya usado</t>
  </si>
  <si>
    <t>Acceso denegado y el intento queda en la auditoría</t>
  </si>
  <si>
    <t>% aprobado
(ejecutados)</t>
  </si>
  <si>
    <t>CP-05</t>
  </si>
  <si>
    <t>Registro e inicio de sesión</t>
  </si>
  <si>
    <t>Un inversionista intenta crear o editar una propiedad</t>
  </si>
  <si>
    <t>Respuesta 403</t>
  </si>
  <si>
    <t>CP-06</t>
  </si>
  <si>
    <t>El analista intenta una operación de escritura</t>
  </si>
  <si>
    <t>CP-07</t>
  </si>
  <si>
    <t>Regla de negocio</t>
  </si>
  <si>
    <t>Propiedad del ejemplo: descuento 42,3 %, deuda 1,5 %, 1 acreedor, 1,5 meses, comuna roja</t>
  </si>
  <si>
    <t>8/10, zona verde, sin veto</t>
  </si>
  <si>
    <t>8/10, zona verde, sin veto; oferta máxima $51.700.000</t>
  </si>
  <si>
    <t>Modelo de referencia (SQL)</t>
  </si>
  <si>
    <t>Aprobado</t>
  </si>
  <si>
    <t>CP-08</t>
  </si>
  <si>
    <t>Estado legal con 1, 2, 3 y 4 gravámenes</t>
  </si>
  <si>
    <t>2, 1, 1 y 0 puntos</t>
  </si>
  <si>
    <t>2, 1, 1 y 0 puntos, tras corregir DEF-06</t>
  </si>
  <si>
    <t>Base del proyecto</t>
  </si>
  <si>
    <t>DEF-06</t>
  </si>
  <si>
    <t>CP-09</t>
  </si>
  <si>
    <t>Propiedad sin comparables de mercado</t>
  </si>
  <si>
    <t>Zona roja sin puntaje (regla de completitud)</t>
  </si>
  <si>
    <t>Las 3 propiedades de prueba sin comparables quedaron en zona roja sin puntaje</t>
  </si>
  <si>
    <t>CP-10</t>
  </si>
  <si>
    <t>Propiedad con usufructo vitalicio y buen puntaje</t>
  </si>
  <si>
    <t>Zona roja por veto, con el motivo guardado</t>
  </si>
  <si>
    <t>Puntaje 6, zona roja por veto, motivo «Usufructo vitalicio»</t>
  </si>
  <si>
    <t>CP-11</t>
  </si>
  <si>
    <t>Descuento real de 14,9 %, 15 %, 39,9 % y 40 %</t>
  </si>
  <si>
    <t>Factor 1: roja con veto, amarilla, amarilla y verde</t>
  </si>
  <si>
    <t>Roja con veto «Descuento real menor a 15 %», amarilla, amarilla y verde</t>
  </si>
  <si>
    <t>CP-12</t>
  </si>
  <si>
    <t>Integración</t>
  </si>
  <si>
    <t>Guardar una propiedad nueva</t>
  </si>
  <si>
    <t>Se crea su evaluación</t>
  </si>
  <si>
    <t>2 de las 3 propiedades «Casa test 2» quedaron sin evaluación</t>
  </si>
  <si>
    <t>Fallido</t>
  </si>
  <si>
    <t>DEF-01</t>
  </si>
  <si>
    <t>CP-13</t>
  </si>
  <si>
    <t>Editar una propiedad con comparables y deudas</t>
  </si>
  <si>
    <t>Se reemplazan los datos, sin duplicados</t>
  </si>
  <si>
    <t>28-09: se duplicaban (DEF-02). 29-09: corrección aplicada; falta la re-prueba</t>
  </si>
  <si>
    <t>DEF-02</t>
  </si>
  <si>
    <t>CP-14</t>
  </si>
  <si>
    <t>Abrir el detalle de una propiedad en la web</t>
  </si>
  <si>
    <t>Semáforo automático</t>
  </si>
  <si>
    <t>Semáforo con los 5 factores, sus puntos y su fuente</t>
  </si>
  <si>
    <t>28-09: la vista no compilaba (DEF-04). 29-09: compila y muestra datos y evaluación; falta el detalle por factor</t>
  </si>
  <si>
    <t>DEF-04</t>
  </si>
  <si>
    <t>CP-15</t>
  </si>
  <si>
    <t>Guardar el formulario del administrador con un campo vacío</t>
  </si>
  <si>
    <t>El campo queda vacío (null), no en 0</t>
  </si>
  <si>
    <t>Anulado el 29-09: el administrador ya no crea propiedades</t>
  </si>
  <si>
    <t>Anulado</t>
  </si>
  <si>
    <t>DEF-05</t>
  </si>
  <si>
    <t>CP-16</t>
  </si>
  <si>
    <t>Filtrar por Maipú y precio hasta $80.000.000</t>
  </si>
  <si>
    <t>Solo propiedades que cumplen ambos filtros, en menos de 2 s</t>
  </si>
  <si>
    <t>CP-17</t>
  </si>
  <si>
    <t>Pedir los guardados de otro usuario cambiando el id</t>
  </si>
  <si>
    <t>Respuesta 403 o 404, sin datos ajenos</t>
  </si>
  <si>
    <t>CP-18</t>
  </si>
  <si>
    <t>La ingesta carga una propiedad que calza con un filtro guardado</t>
  </si>
  <si>
    <t>Alerta enviada en menos de 5 minutos</t>
  </si>
  <si>
    <t>CP-19</t>
  </si>
  <si>
    <t>La ingesta recibe un aviso sin rol de avalúo</t>
  </si>
  <si>
    <t>Se descarta, queda registrado y la carga sigue</t>
  </si>
  <si>
    <t>CP-20</t>
  </si>
  <si>
    <t>La ingesta lee dos veces el mismo aviso</t>
  </si>
  <si>
    <t>No se duplica la propiedad</t>
  </si>
  <si>
    <t>Se rechaza el duplicado por la restricción única; falta probar la ingesta</t>
  </si>
  <si>
    <t>CP-21</t>
  </si>
  <si>
    <t>Cambiar el umbral verde del factor 1</t>
  </si>
  <si>
    <t>Nueva versión de reglas y recálculo de las publicaciones activas</t>
  </si>
  <si>
    <t>Detalle por factor</t>
  </si>
  <si>
    <t>CP-22</t>
  </si>
  <si>
    <t>Guardar y quitar una propiedad desde la web</t>
  </si>
  <si>
    <t>Se registra en la base y se mantiene al volver a entrar</t>
  </si>
  <si>
    <t>La web usa GET, POST y DELETE /favoritos; verificado en la base</t>
  </si>
  <si>
    <t>CP-23</t>
  </si>
  <si>
    <t>Un inversionista abre el detalle de una propiedad</t>
  </si>
  <si>
    <t>Se registra una vista (una por persona cada 30 minutos; solo inversionistas)</t>
  </si>
  <si>
    <t>POST /propiedades/{id}/vista verificado en /docs y en la base</t>
  </si>
  <si>
    <t>CP-24</t>
  </si>
  <si>
    <t>Entreg. 5</t>
  </si>
  <si>
    <t>Un inversionista abre /admin en la web</t>
  </si>
  <si>
    <t>No ve el menú Admin y la ruta lo devuelve al inicio</t>
  </si>
  <si>
    <t>Implementado el 29-09 (ProtectedRoute soloAdmin); falta registrar la prueba</t>
  </si>
  <si>
    <t>Filtros</t>
  </si>
  <si>
    <t>Qué se prueba</t>
  </si>
  <si>
    <t>Herramienta</t>
  </si>
  <si>
    <t>Criterio de aceptación</t>
  </si>
  <si>
    <t>RNF Seguridad · Entreg. 17</t>
  </si>
  <si>
    <t>Permisos por rol, token inválido o vencido, límites de uso y cabeceras HTTP</t>
  </si>
  <si>
    <t>pytest + httpx; OWASP ZAP</t>
  </si>
  <si>
    <t>Toda escritura sin permiso responde 401 o 403; 429 al exceder el límite; ZAP sin alertas altas</t>
  </si>
  <si>
    <t>Rendimiento</t>
  </si>
  <si>
    <t>RNF Rendimiento</t>
  </si>
  <si>
    <t>Búsqueda y filtros del catálogo</t>
  </si>
  <si>
    <t>Locust</t>
  </si>
  <si>
    <t>El 95 % de las respuestas en 2 s o menos</t>
  </si>
  <si>
    <t>Guardados</t>
  </si>
  <si>
    <t>Carga</t>
  </si>
  <si>
    <t>50 usuarios simultáneos durante 10 minutos</t>
  </si>
  <si>
    <t>Menos de 1 % de errores y el mismo tiempo de respuesta</t>
  </si>
  <si>
    <t>Concurrencia</t>
  </si>
  <si>
    <t>RF-10 · RF-14</t>
  </si>
  <si>
    <t>Dos administradores guardan a la vez; la ingesta corre mientras se consulta</t>
  </si>
  <si>
    <t>pytest con hilos y transacciones</t>
  </si>
  <si>
    <t>Sin datos corruptos ni evaluaciones duplicadas</t>
  </si>
  <si>
    <t>Latencia</t>
  </si>
  <si>
    <t>Entreg. 13</t>
  </si>
  <si>
    <t>Tiempo desde que la ingesta carga una propiedad hasta el aviso</t>
  </si>
  <si>
    <t>Tiempos registrados en las alertas</t>
  </si>
  <si>
    <t>El 95 % de las alertas en menos de 5 minutos</t>
  </si>
  <si>
    <t>Disponibilidad</t>
  </si>
  <si>
    <t>RNF Disponibilidad</t>
  </si>
  <si>
    <t>Ambiente de demostración</t>
  </si>
  <si>
    <t>Monitor de /health cada 5 minutos</t>
  </si>
  <si>
    <t>Al menos 95 % durante las pruebas y la demostración</t>
  </si>
  <si>
    <t>Accesibilidad</t>
  </si>
  <si>
    <t>Sección E (WCAG 2.2)</t>
  </si>
  <si>
    <t>Contraste de texto, botones y colores del semáforo</t>
  </si>
  <si>
    <t>Cálculo de contraste WCAG sobre la paleta del prototipo</t>
  </si>
  <si>
    <t>Texto 4,5:1 o más; componentes 3:1 o más</t>
  </si>
  <si>
    <t>Texto 12,9:1; botones 6,1:1; zonas del semáforo 5,6 a 5,9:1 (28-09)</t>
  </si>
  <si>
    <t>Teclado y etiquetas de formularios en la web</t>
  </si>
  <si>
    <t>Lighthouse, axe y recorrido solo con teclado</t>
  </si>
  <si>
    <t>Sin errores de etiquetas; todo se opera con teclado y el foco se ve</t>
  </si>
  <si>
    <t>Usabilidad</t>
  </si>
  <si>
    <t>RNF Usabilidad</t>
  </si>
  <si>
    <t>Registro y búsqueda de un usuario nuevo</t>
  </si>
  <si>
    <t>Prueba con 5 inversionistas y cuestionario SUS</t>
  </si>
  <si>
    <t>Menos de 5 minutos y SUS mayor a 68</t>
  </si>
  <si>
    <t>Geolocalización</t>
  </si>
  <si>
    <t>Entreg. 7</t>
  </si>
  <si>
    <t>20 direcciones de avisos reales</t>
  </si>
  <si>
    <t>Script de comparación con Nominatim</t>
  </si>
  <si>
    <t>Coordenadas dentro de la comuna del aviso; error menor a 50 m</t>
  </si>
  <si>
    <t>Compatibilidad</t>
  </si>
  <si>
    <t>RNF Compatibilidad</t>
  </si>
  <si>
    <t>Recorridos principales</t>
  </si>
  <si>
    <t>Chrome, Firefox y Edge actuales; 360 px de ancho</t>
  </si>
  <si>
    <t>Mismo resultado en los tres navegadores</t>
  </si>
  <si>
    <t>IA / modelo</t>
  </si>
  <si>
    <t>No aplica: el semáforo es un motor de reglas explícitas, sin modelo de IA</t>
  </si>
  <si>
    <t>No aplica</t>
  </si>
  <si>
    <t>Fotos y descripción</t>
  </si>
  <si>
    <t>2FA del administrador</t>
  </si>
  <si>
    <t>Ingesta</t>
  </si>
  <si>
    <t>Reglas configurables</t>
  </si>
  <si>
    <t>Severidad</t>
  </si>
  <si>
    <t>Corrección</t>
  </si>
  <si>
    <t>Re-prueba</t>
  </si>
  <si>
    <t>Dos propiedades de prueba quedaron sin evaluación después de guardarlas</t>
  </si>
  <si>
    <t>Calcular la evaluación dentro de la misma transacción del guardado (01-10)</t>
  </si>
  <si>
    <t>Pendiente (CP-12)</t>
  </si>
  <si>
    <t>Corregido</t>
  </si>
  <si>
    <t>Al editar una propiedad se duplican comparables y deudas</t>
  </si>
  <si>
    <t>Alertas</t>
  </si>
  <si>
    <t>Sangría corregida en _guardar_datos_relacionados (29-09)</t>
  </si>
  <si>
    <t>Pendiente (CP-13)</t>
  </si>
  <si>
    <t>DEF-03</t>
  </si>
  <si>
    <t>Crear una propiedad no es atómica: si falla un paso quedan datos a medias</t>
  </si>
  <si>
    <t>Una sola transacción para la propiedad y sus tablas relacionadas (04-10)</t>
  </si>
  <si>
    <t>La vista de detalle de la web no compila</t>
  </si>
  <si>
    <t>PropertyDetailPage con los campos de la API (29-09)</t>
  </si>
  <si>
    <t>29-09: el proyecto compila sin errores</t>
  </si>
  <si>
    <t>El formulario del administrador envía 0 en vez de vacío y no permite editar</t>
  </si>
  <si>
    <t>No aplica: el administrador ya no crea propiedades (29-09)</t>
  </si>
  <si>
    <t>El umbral de estado legal daba zona verde con 2 gravámenes</t>
  </si>
  <si>
    <t>Crítica</t>
  </si>
  <si>
    <t>Umbrales: verde con 1 acreedor, amarilla con 2 a 3 y roja con 4 o más</t>
  </si>
  <si>
    <t>28-09: 2, 1, 1 y 0 puntos (CP-08)</t>
  </si>
  <si>
    <t>El encabezado de la web queda apretado en el celular</t>
  </si>
  <si>
    <t>Ajustar el encabezado en pantallas angostas</t>
  </si>
  <si>
    <t>Defectos por severidad y estado</t>
  </si>
  <si>
    <t>Panel del analista</t>
  </si>
  <si>
    <t>Seguridad y roles</t>
  </si>
  <si>
    <t>Criterios de severidad</t>
  </si>
  <si>
    <t>El semáforo entrega una zona equivocada o el sistema se cae</t>
  </si>
  <si>
    <t>Bloquea una historia</t>
  </si>
  <si>
    <t>Hay una forma de seguir trabajando</t>
  </si>
  <si>
    <t>Visual o de redacción</t>
  </si>
  <si>
    <t>Vistas por publicación</t>
  </si>
  <si>
    <t>Criterios de salida del plan de pruebas</t>
  </si>
  <si>
    <t>Criterio de salida</t>
  </si>
  <si>
    <t>Meta</t>
  </si>
  <si>
    <t>Al 30-09</t>
  </si>
  <si>
    <t>Casos críticos aprobados</t>
  </si>
  <si>
    <t>Casos aprobados del total vigente</t>
  </si>
  <si>
    <t>90 % o más</t>
  </si>
  <si>
    <t>Defectos críticos o altos sin cerrar</t>
  </si>
  <si>
    <t>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</si>
</sst>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dd\-mm\-yyyy"/>
    <numFmt numFmtId="166" formatCode="dd\-mm"/>
  </numFmts>
  <fonts count="17">
    <font>
      <sz val="11.0"/>
      <color theme="1"/>
      <name val="Calibri"/>
      <scheme val="minor"/>
    </font>
    <font>
      <b/>
      <sz val="14.0"/>
      <color rgb="FF1F3864"/>
      <name val="Arial"/>
    </font>
    <font>
      <i/>
      <sz val="10.0"/>
      <color rgb="FF595959"/>
      <name val="Arial"/>
    </font>
    <font>
      <b/>
      <sz val="10.0"/>
      <color rgb="FFFFFFFF"/>
      <name val="Arial"/>
    </font>
    <font>
      <b/>
      <sz val="10.0"/>
      <color rgb="FF000000"/>
      <name val="Arial"/>
    </font>
    <font>
      <sz val="10.0"/>
      <color rgb="FF000000"/>
      <name val="Arial"/>
    </font>
    <font>
      <u/>
      <sz val="10.0"/>
      <color rgb="FF0563C1"/>
      <name val="Arial"/>
    </font>
    <font>
      <sz val="10.0"/>
      <color rgb="FF0000FF"/>
      <name val="Arial"/>
    </font>
    <font>
      <u/>
      <sz val="10.0"/>
      <color rgb="FF0563C1"/>
      <name val="Arial"/>
    </font>
    <font/>
    <font>
      <b/>
      <sz val="11.0"/>
      <color rgb="FF1F3864"/>
      <name val="Arial"/>
    </font>
    <font>
      <sz val="10.0"/>
      <color theme="1"/>
      <name val="Arial"/>
    </font>
    <font>
      <sz val="11.0"/>
      <color theme="1"/>
      <name val="Calibri"/>
    </font>
    <font>
      <i/>
      <sz val="10.0"/>
      <color theme="1"/>
      <name val="Arial"/>
    </font>
    <font>
      <u/>
      <sz val="10.0"/>
      <color rgb="FF000000"/>
      <name val="Arial"/>
    </font>
    <font>
      <b/>
      <sz val="10.0"/>
      <color theme="1"/>
      <name val="Arial"/>
    </font>
    <font>
      <color theme="1"/>
      <name val="Calibri"/>
      <scheme val="minor"/>
    </font>
  </fonts>
  <fills count="12">
    <fill>
      <patternFill patternType="none"/>
    </fill>
    <fill>
      <patternFill patternType="lightGray"/>
    </fill>
    <fill>
      <patternFill patternType="solid">
        <fgColor rgb="FF1F3864"/>
        <bgColor rgb="FF1F3864"/>
      </patternFill>
    </fill>
    <fill>
      <patternFill patternType="solid">
        <fgColor rgb="FFF3F6FB"/>
        <bgColor rgb="FFF3F6FB"/>
      </patternFill>
    </fill>
    <fill>
      <patternFill patternType="solid">
        <fgColor rgb="FF2F5496"/>
        <bgColor rgb="FF2F5496"/>
      </patternFill>
    </fill>
    <fill>
      <patternFill patternType="solid">
        <fgColor rgb="FFDCE3EF"/>
        <bgColor rgb="FFDCE3EF"/>
      </patternFill>
    </fill>
    <fill>
      <patternFill patternType="solid">
        <fgColor rgb="FFFFFFFF"/>
        <bgColor rgb="FFFFFFFF"/>
      </patternFill>
    </fill>
    <fill>
      <patternFill patternType="solid">
        <fgColor rgb="FFC2D69B"/>
        <bgColor rgb="FFC2D69B"/>
      </patternFill>
    </fill>
    <fill>
      <patternFill patternType="solid">
        <fgColor rgb="FFFBEFD4"/>
        <bgColor rgb="FFFBEFD4"/>
      </patternFill>
    </fill>
    <fill>
      <patternFill patternType="solid">
        <fgColor rgb="FFFFFF00"/>
        <bgColor rgb="FFFFFF00"/>
      </patternFill>
    </fill>
    <fill>
      <patternFill patternType="solid">
        <fgColor rgb="FFEDEFF3"/>
        <bgColor rgb="FFEDEFF3"/>
      </patternFill>
    </fill>
    <fill>
      <patternFill patternType="solid">
        <fgColor rgb="FFE3F1DF"/>
        <bgColor rgb="FFE3F1DF"/>
      </patternFill>
    </fill>
  </fills>
  <borders count="13">
    <border/>
    <border>
      <left style="thin">
        <color rgb="FFFFFFFF"/>
      </left>
      <right style="thin">
        <color rgb="FFFFFFFF"/>
      </right>
      <top style="thin">
        <color rgb="FFFFFFFF"/>
      </top>
      <bottom style="thin">
        <color rgb="FFFFFFFF"/>
      </bottom>
    </border>
    <border>
      <left style="thin">
        <color rgb="FFB4BFD0"/>
      </left>
      <right style="thin">
        <color rgb="FFB4BFD0"/>
      </right>
      <top style="thin">
        <color rgb="FFB4BFD0"/>
      </top>
      <bottom style="thin">
        <color rgb="FFB4BFD0"/>
      </bottom>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thin">
        <color rgb="FFB4BFD0"/>
      </left>
      <top style="thin">
        <color rgb="FFB4BFD0"/>
      </top>
      <bottom style="thin">
        <color rgb="FFB4BFD0"/>
      </bottom>
    </border>
    <border>
      <top style="thin">
        <color rgb="FFB4BFD0"/>
      </top>
      <bottom style="thin">
        <color rgb="FFB4BFD0"/>
      </bottom>
    </border>
    <border>
      <right style="thin">
        <color rgb="FFB4BFD0"/>
      </right>
      <top style="thin">
        <color rgb="FFB4BFD0"/>
      </top>
      <bottom style="thin">
        <color rgb="FFB4BFD0"/>
      </bottom>
    </border>
    <border>
      <left style="thin">
        <color rgb="FFB4BFD0"/>
      </left>
      <right style="thin">
        <color rgb="FFB4BFD0"/>
      </right>
      <top style="thin">
        <color rgb="FFB4BFD0"/>
      </top>
    </border>
    <border>
      <left style="thin">
        <color rgb="FFB4BFD0"/>
      </left>
      <right style="thin">
        <color rgb="FFB4BFD0"/>
      </right>
    </border>
    <border>
      <left style="thin">
        <color rgb="FFB4BFD0"/>
      </left>
      <right style="thin">
        <color rgb="FFB4BFD0"/>
      </right>
      <bottom style="thin">
        <color rgb="FFB4BFD0"/>
      </bottom>
    </border>
    <border>
      <left/>
      <right/>
      <top/>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horizontal="center" shrinkToFit="0" vertical="center" wrapText="1"/>
    </xf>
    <xf borderId="2" fillId="0" fontId="4" numFmtId="0" xfId="0" applyAlignment="1" applyBorder="1" applyFont="1">
      <alignment horizontal="center" shrinkToFit="0" vertical="center" wrapText="1"/>
    </xf>
    <xf borderId="2" fillId="0" fontId="4" numFmtId="0" xfId="0" applyAlignment="1" applyBorder="1" applyFont="1">
      <alignment horizontal="left" shrinkToFit="0" vertical="top" wrapText="1"/>
    </xf>
    <xf borderId="2" fillId="0" fontId="5" numFmtId="0" xfId="0" applyAlignment="1" applyBorder="1" applyFont="1">
      <alignment horizontal="left" shrinkToFit="0" vertical="top" wrapText="1"/>
    </xf>
    <xf borderId="2" fillId="0" fontId="6" numFmtId="0" xfId="0" applyAlignment="1" applyBorder="1" applyFont="1">
      <alignment horizontal="left" shrinkToFit="0" vertical="top" wrapText="1"/>
    </xf>
    <xf borderId="2" fillId="0" fontId="7" numFmtId="0" xfId="0" applyAlignment="1" applyBorder="1" applyFont="1">
      <alignment horizontal="center" shrinkToFit="0" vertical="center" wrapText="1"/>
    </xf>
    <xf borderId="2" fillId="3" fontId="4" numFmtId="0" xfId="0" applyAlignment="1" applyBorder="1" applyFill="1" applyFont="1">
      <alignment horizontal="center" shrinkToFit="0" vertical="center" wrapText="1"/>
    </xf>
    <xf borderId="2" fillId="3" fontId="4" numFmtId="0" xfId="0" applyAlignment="1" applyBorder="1" applyFill="1" applyFont="1">
      <alignment horizontal="left" shrinkToFit="0" vertical="top" wrapText="1"/>
    </xf>
    <xf borderId="2" fillId="3" fontId="5" numFmtId="0" xfId="0" applyAlignment="1" applyBorder="1" applyFill="1" applyFont="1">
      <alignment horizontal="left" shrinkToFit="0" vertical="top" wrapText="1"/>
    </xf>
    <xf borderId="2" fillId="3" fontId="8" numFmtId="0" xfId="0" applyAlignment="1" applyBorder="1" applyFill="1" applyFont="1">
      <alignment horizontal="left" shrinkToFit="0" vertical="top" wrapText="1"/>
    </xf>
    <xf borderId="2" fillId="3" fontId="7" numFmtId="0" xfId="0" applyAlignment="1" applyBorder="1" applyFill="1" applyFont="1">
      <alignment horizontal="center" shrinkToFit="0" vertical="center" wrapText="1"/>
    </xf>
    <xf borderId="3" fillId="2" fontId="3" numFmtId="0" xfId="0" applyAlignment="1" applyBorder="1" applyFill="1" applyFont="1">
      <alignment horizontal="center" vertical="center"/>
    </xf>
    <xf borderId="4" fillId="0" fontId="9" numFmtId="0" xfId="0" applyBorder="1" applyFont="1"/>
    <xf borderId="2" fillId="0" fontId="5" numFmtId="0" xfId="0" applyAlignment="1" applyBorder="1" applyFont="1">
      <alignment horizontal="center" shrinkToFit="0" vertical="center" wrapText="1"/>
    </xf>
    <xf borderId="5" fillId="0" fontId="9" numFmtId="0" xfId="0" applyBorder="1" applyFont="1"/>
    <xf borderId="1" fillId="4" fontId="3" numFmtId="0" xfId="0" applyAlignment="1" applyBorder="1" applyFill="1" applyFont="1">
      <alignment horizontal="center" shrinkToFit="0" vertical="center" wrapText="1"/>
    </xf>
    <xf borderId="6" fillId="5" fontId="4" numFmtId="0" xfId="0" applyAlignment="1" applyBorder="1" applyFill="1" applyFont="1">
      <alignment horizontal="left" shrinkToFit="0" vertical="top" wrapText="1"/>
    </xf>
    <xf borderId="7" fillId="0" fontId="9" numFmtId="0" xfId="0" applyBorder="1" applyFont="1"/>
    <xf borderId="8" fillId="0" fontId="9" numFmtId="0" xfId="0" applyBorder="1" applyFont="1"/>
    <xf borderId="9" fillId="0" fontId="4" numFmtId="0" xfId="0" applyAlignment="1" applyBorder="1" applyFont="1">
      <alignment horizontal="left" shrinkToFit="0" vertical="top" wrapText="1"/>
    </xf>
    <xf borderId="9" fillId="0" fontId="5" numFmtId="0" xfId="0" applyAlignment="1" applyBorder="1" applyFont="1">
      <alignment horizontal="left" shrinkToFit="0" vertical="top" wrapText="1"/>
    </xf>
    <xf borderId="2" fillId="3" fontId="5" numFmtId="0" xfId="0" applyAlignment="1" applyBorder="1" applyFill="1" applyFont="1">
      <alignment horizontal="center" shrinkToFit="0" vertical="center" wrapText="1"/>
    </xf>
    <xf borderId="2" fillId="5" fontId="4" numFmtId="0" xfId="0" applyAlignment="1" applyBorder="1" applyFill="1" applyFont="1">
      <alignment horizontal="center" shrinkToFit="0" vertical="center" wrapText="1"/>
    </xf>
    <xf borderId="10" fillId="0" fontId="9" numFmtId="0" xfId="0" applyBorder="1" applyFont="1"/>
    <xf borderId="0" fillId="0" fontId="10" numFmtId="0" xfId="0" applyFont="1"/>
    <xf borderId="11" fillId="0" fontId="9" numFmtId="0" xfId="0" applyBorder="1" applyFont="1"/>
    <xf borderId="9" fillId="3" fontId="4" numFmtId="0" xfId="0" applyAlignment="1" applyBorder="1" applyFill="1" applyFont="1">
      <alignment horizontal="left" shrinkToFit="0" vertical="top" wrapText="1"/>
    </xf>
    <xf borderId="9" fillId="3" fontId="5" numFmtId="0" xfId="0" applyAlignment="1" applyBorder="1" applyFill="1" applyFont="1">
      <alignment horizontal="left" shrinkToFit="0" vertical="top" wrapText="1"/>
    </xf>
    <xf borderId="12" fillId="6" fontId="4" numFmtId="0" xfId="0" applyAlignment="1" applyBorder="1" applyFill="1" applyFont="1">
      <alignment horizontal="center"/>
    </xf>
    <xf borderId="12" fillId="6" fontId="11" numFmtId="0" xfId="0" applyBorder="1" applyFill="1" applyFont="1"/>
    <xf borderId="12" fillId="6" fontId="12" numFmtId="0" xfId="0" applyBorder="1" applyFill="1" applyFont="1"/>
    <xf borderId="6" fillId="5" fontId="4" numFmtId="0" xfId="0" applyAlignment="1" applyBorder="1" applyFill="1" applyFont="1">
      <alignment horizontal="center" shrinkToFit="0" vertical="center" wrapText="1"/>
    </xf>
    <xf borderId="0" fillId="0" fontId="13" numFmtId="0" xfId="0" applyFont="1"/>
    <xf borderId="9" fillId="3" fontId="14" numFmtId="0" xfId="0" applyAlignment="1" applyBorder="1" applyFill="1" applyFont="1">
      <alignment horizontal="left" readingOrder="0" shrinkToFit="0" vertical="top" wrapText="1"/>
    </xf>
    <xf borderId="2" fillId="0" fontId="5" numFmtId="0" xfId="0" applyAlignment="1" applyBorder="1" applyFont="1">
      <alignment horizontal="center" vertical="center"/>
    </xf>
    <xf borderId="2" fillId="3" fontId="5" numFmtId="0" xfId="0" applyAlignment="1" applyBorder="1" applyFill="1" applyFont="1">
      <alignment horizontal="center" vertical="center"/>
    </xf>
    <xf borderId="2" fillId="0" fontId="5" numFmtId="164" xfId="0" applyAlignment="1" applyBorder="1" applyFont="1" applyNumberFormat="1">
      <alignment horizontal="center" shrinkToFit="0" vertical="center" wrapText="1"/>
    </xf>
    <xf borderId="9" fillId="5" fontId="4" numFmtId="0" xfId="0" applyAlignment="1" applyBorder="1" applyFill="1" applyFont="1">
      <alignment horizontal="center" shrinkToFit="0" vertical="center" wrapText="1"/>
    </xf>
    <xf borderId="2" fillId="7" fontId="5" numFmtId="0" xfId="0" applyAlignment="1" applyBorder="1" applyFill="1" applyFont="1">
      <alignment horizontal="center" shrinkToFit="0" vertical="center" wrapText="1"/>
    </xf>
    <xf borderId="2" fillId="8" fontId="5" numFmtId="0" xfId="0" applyAlignment="1" applyBorder="1" applyFill="1" applyFont="1">
      <alignment horizontal="center" shrinkToFit="0" vertical="center" wrapText="1"/>
    </xf>
    <xf borderId="2" fillId="6" fontId="5" numFmtId="0" xfId="0" applyAlignment="1" applyBorder="1" applyFill="1" applyFont="1">
      <alignment horizontal="center" shrinkToFit="0" vertical="center" wrapText="1"/>
    </xf>
    <xf borderId="2" fillId="0" fontId="5" numFmtId="165" xfId="0" applyAlignment="1" applyBorder="1" applyFont="1" applyNumberFormat="1">
      <alignment horizontal="center" shrinkToFit="0" vertical="center" wrapText="1"/>
    </xf>
    <xf borderId="2" fillId="3" fontId="5" numFmtId="165" xfId="0" applyAlignment="1" applyBorder="1" applyFill="1" applyFont="1" applyNumberFormat="1">
      <alignment horizontal="center" shrinkToFit="0" vertical="center" wrapText="1"/>
    </xf>
    <xf borderId="0" fillId="0" fontId="2" numFmtId="0" xfId="0" applyAlignment="1" applyFont="1">
      <alignment shrinkToFit="0" vertical="top" wrapText="1"/>
    </xf>
    <xf borderId="2" fillId="3" fontId="5" numFmtId="164" xfId="0" applyAlignment="1" applyBorder="1" applyFill="1" applyFont="1" applyNumberFormat="1">
      <alignment horizontal="center" shrinkToFit="0" vertical="center" wrapText="1"/>
    </xf>
    <xf borderId="1" fillId="2" fontId="3" numFmtId="0" xfId="0" applyAlignment="1" applyBorder="1" applyFill="1" applyFont="1">
      <alignment horizontal="left" shrinkToFit="0" vertical="center" wrapText="1"/>
    </xf>
    <xf borderId="2" fillId="0" fontId="11" numFmtId="0" xfId="0" applyAlignment="1" applyBorder="1" applyFont="1">
      <alignment horizontal="left" shrinkToFit="0" vertical="top" wrapText="1"/>
    </xf>
    <xf borderId="2" fillId="0" fontId="5" numFmtId="1" xfId="0" applyAlignment="1" applyBorder="1" applyFont="1" applyNumberFormat="1">
      <alignment horizontal="center" vertical="center"/>
    </xf>
    <xf borderId="2" fillId="0" fontId="5" numFmtId="164" xfId="0" applyAlignment="1" applyBorder="1" applyFont="1" applyNumberFormat="1">
      <alignment horizontal="center" vertical="center"/>
    </xf>
    <xf borderId="2" fillId="0" fontId="5" numFmtId="9" xfId="0" applyAlignment="1" applyBorder="1" applyFont="1" applyNumberFormat="1">
      <alignment horizontal="center" vertical="center"/>
    </xf>
    <xf borderId="2" fillId="3" fontId="11" numFmtId="0" xfId="0" applyAlignment="1" applyBorder="1" applyFill="1" applyFont="1">
      <alignment horizontal="left" shrinkToFit="0" vertical="top" wrapText="1"/>
    </xf>
    <xf borderId="2" fillId="3" fontId="5" numFmtId="1" xfId="0" applyAlignment="1" applyBorder="1" applyFill="1" applyFont="1" applyNumberFormat="1">
      <alignment horizontal="center" vertical="center"/>
    </xf>
    <xf borderId="2" fillId="3" fontId="5" numFmtId="164" xfId="0" applyAlignment="1" applyBorder="1" applyFill="1" applyFont="1" applyNumberFormat="1">
      <alignment horizontal="center" vertical="center"/>
    </xf>
    <xf borderId="2" fillId="2" fontId="3" numFmtId="0" xfId="0" applyAlignment="1" applyBorder="1" applyFill="1" applyFont="1">
      <alignment vertical="center"/>
    </xf>
    <xf borderId="6" fillId="0" fontId="5" numFmtId="0" xfId="0" applyAlignment="1" applyBorder="1" applyFont="1">
      <alignment horizontal="left" shrinkToFit="0" vertical="center" wrapText="1"/>
    </xf>
    <xf borderId="2" fillId="3" fontId="5" numFmtId="9" xfId="0" applyAlignment="1" applyBorder="1" applyFill="1" applyFont="1" applyNumberFormat="1">
      <alignment horizontal="center" vertical="center"/>
    </xf>
    <xf borderId="2" fillId="0" fontId="5" numFmtId="165" xfId="0" applyAlignment="1" applyBorder="1" applyFont="1" applyNumberFormat="1">
      <alignment horizontal="left" shrinkToFit="0" vertical="center" wrapText="1"/>
    </xf>
    <xf borderId="6" fillId="9" fontId="5" numFmtId="0" xfId="0" applyAlignment="1" applyBorder="1" applyFill="1" applyFont="1">
      <alignment horizontal="left" shrinkToFit="0" vertical="center" wrapText="1"/>
    </xf>
    <xf borderId="2" fillId="3" fontId="15" numFmtId="0" xfId="0" applyAlignment="1" applyBorder="1" applyFill="1" applyFont="1">
      <alignment horizontal="left" shrinkToFit="0" vertical="top" wrapText="1"/>
    </xf>
    <xf borderId="2" fillId="0" fontId="5" numFmtId="0" xfId="0" applyAlignment="1" applyBorder="1" applyFont="1">
      <alignment horizontal="left" shrinkToFit="0" vertical="center" wrapText="1"/>
    </xf>
    <xf borderId="2" fillId="0" fontId="7" numFmtId="165" xfId="0" applyAlignment="1" applyBorder="1" applyFont="1" applyNumberFormat="1">
      <alignment horizontal="left" shrinkToFit="0" vertical="center" wrapText="1"/>
    </xf>
    <xf borderId="2" fillId="0" fontId="15" numFmtId="0" xfId="0" applyAlignment="1" applyBorder="1" applyFont="1">
      <alignment horizontal="left" shrinkToFit="0" vertical="top" wrapText="1"/>
    </xf>
    <xf borderId="1" fillId="2" fontId="3" numFmtId="0" xfId="0" applyAlignment="1" applyBorder="1" applyFill="1" applyFont="1">
      <alignment horizontal="center" vertical="center"/>
    </xf>
    <xf borderId="1" fillId="4" fontId="3" numFmtId="166" xfId="0" applyAlignment="1" applyBorder="1" applyFill="1" applyFont="1" applyNumberFormat="1">
      <alignment horizontal="center" textRotation="90" vertical="center"/>
    </xf>
    <xf borderId="2" fillId="9" fontId="5" numFmtId="0" xfId="0" applyAlignment="1" applyBorder="1" applyFill="1" applyFont="1">
      <alignment horizontal="center" shrinkToFit="0" vertical="center" wrapText="1"/>
    </xf>
    <xf borderId="2" fillId="0" fontId="5" numFmtId="166" xfId="0" applyAlignment="1" applyBorder="1" applyFont="1" applyNumberFormat="1">
      <alignment horizontal="center" shrinkToFit="0" vertical="center" wrapText="1"/>
    </xf>
    <xf borderId="2" fillId="9" fontId="5" numFmtId="0" xfId="0" applyAlignment="1" applyBorder="1" applyFill="1" applyFont="1">
      <alignment horizontal="center" readingOrder="0" shrinkToFit="0" vertical="center" wrapText="1"/>
    </xf>
    <xf borderId="2" fillId="3" fontId="5" numFmtId="166" xfId="0" applyAlignment="1" applyBorder="1" applyFill="1" applyFont="1" applyNumberFormat="1">
      <alignment horizontal="center" shrinkToFit="0" vertical="center" wrapText="1"/>
    </xf>
    <xf borderId="2" fillId="9" fontId="5" numFmtId="166" xfId="0" applyAlignment="1" applyBorder="1" applyFill="1" applyFont="1" applyNumberFormat="1">
      <alignment horizontal="center" shrinkToFit="0" vertical="center" wrapText="1"/>
    </xf>
    <xf borderId="2" fillId="6" fontId="5" numFmtId="166" xfId="0" applyAlignment="1" applyBorder="1" applyFill="1" applyFont="1" applyNumberFormat="1">
      <alignment horizontal="center" shrinkToFit="0" vertical="center" wrapText="1"/>
    </xf>
    <xf borderId="2" fillId="3" fontId="5" numFmtId="0" xfId="0" applyAlignment="1" applyBorder="1" applyFill="1" applyFont="1">
      <alignment horizontal="center" readingOrder="0" shrinkToFit="0" vertical="center" wrapText="1"/>
    </xf>
    <xf borderId="2" fillId="5" fontId="15" numFmtId="0" xfId="0" applyBorder="1" applyFill="1" applyFont="1"/>
    <xf borderId="2" fillId="5" fontId="15" numFmtId="0" xfId="0" applyAlignment="1" applyBorder="1" applyFill="1" applyFont="1">
      <alignment horizontal="center"/>
    </xf>
    <xf borderId="2" fillId="2" fontId="3" numFmtId="0" xfId="0" applyAlignment="1" applyBorder="1" applyFill="1" applyFont="1">
      <alignment horizontal="center" shrinkToFit="0" vertical="center" wrapText="1"/>
    </xf>
    <xf borderId="2" fillId="10" fontId="5" numFmtId="0" xfId="0" applyAlignment="1" applyBorder="1" applyFill="1" applyFont="1">
      <alignment horizontal="left" shrinkToFit="0" vertical="top" wrapText="1"/>
    </xf>
    <xf borderId="2" fillId="0" fontId="11" numFmtId="0" xfId="0" applyAlignment="1" applyBorder="1" applyFont="1">
      <alignment horizontal="center"/>
    </xf>
    <xf borderId="2" fillId="8" fontId="5" numFmtId="0" xfId="0" applyAlignment="1" applyBorder="1" applyFill="1" applyFont="1">
      <alignment horizontal="left" shrinkToFit="0" vertical="top" wrapText="1"/>
    </xf>
    <xf borderId="2" fillId="11" fontId="5" numFmtId="0" xfId="0" applyAlignment="1" applyBorder="1" applyFill="1" applyFont="1">
      <alignment horizontal="left" shrinkToFit="0" vertical="top" wrapText="1"/>
    </xf>
    <xf borderId="2" fillId="6" fontId="5" numFmtId="0" xfId="0" applyAlignment="1" applyBorder="1" applyFill="1" applyFont="1">
      <alignment horizontal="left" shrinkToFit="0" vertical="top" wrapText="1"/>
    </xf>
    <xf borderId="2" fillId="9" fontId="11" numFmtId="0" xfId="0" applyAlignment="1" applyBorder="1" applyFill="1" applyFont="1">
      <alignment horizontal="center"/>
    </xf>
    <xf borderId="2" fillId="9" fontId="5" numFmtId="0" xfId="0" applyAlignment="1" applyBorder="1" applyFill="1" applyFont="1">
      <alignment horizontal="left" shrinkToFit="0" vertical="top" wrapText="1"/>
    </xf>
    <xf borderId="2" fillId="3" fontId="5" numFmtId="16" xfId="0" applyAlignment="1" applyBorder="1" applyFill="1" applyFont="1" applyNumberFormat="1">
      <alignment horizontal="center" shrinkToFit="0" vertical="center" wrapText="1"/>
    </xf>
    <xf borderId="2" fillId="0" fontId="4" numFmtId="0" xfId="0" applyAlignment="1" applyBorder="1" applyFont="1">
      <alignment horizontal="center" vertical="center"/>
    </xf>
    <xf borderId="0" fillId="0" fontId="16" numFmtId="0" xfId="0" applyFont="1"/>
    <xf borderId="2" fillId="0" fontId="5" numFmtId="165" xfId="0" applyAlignment="1" applyBorder="1" applyFont="1" applyNumberFormat="1">
      <alignment horizontal="left" readingOrder="0" shrinkToFit="0" vertical="center" wrapText="1"/>
    </xf>
    <xf borderId="2" fillId="0" fontId="5" numFmtId="0" xfId="0" applyAlignment="1" applyBorder="1" applyFont="1">
      <alignment horizontal="center" readingOrder="0" shrinkToFit="0" vertical="center" wrapText="1"/>
    </xf>
    <xf borderId="2" fillId="3" fontId="5" numFmtId="166" xfId="0" applyAlignment="1" applyBorder="1" applyFill="1" applyFont="1" applyNumberFormat="1">
      <alignment horizontal="center" readingOrder="0" shrinkToFit="0" vertical="center" wrapText="1"/>
    </xf>
    <xf borderId="2" fillId="0" fontId="5" numFmtId="9" xfId="0" applyAlignment="1" applyBorder="1" applyFont="1" applyNumberFormat="1">
      <alignment horizontal="center" shrinkToFit="0" vertical="center" wrapText="1"/>
    </xf>
    <xf borderId="2" fillId="3" fontId="5" numFmtId="9" xfId="0" applyAlignment="1" applyBorder="1" applyFill="1" applyFont="1" applyNumberFormat="1">
      <alignment horizontal="center" shrinkToFit="0" vertical="center" wrapText="1"/>
    </xf>
    <xf borderId="2" fillId="5" fontId="4" numFmtId="9" xfId="0" applyAlignment="1" applyBorder="1" applyFill="1" applyFont="1" applyNumberFormat="1">
      <alignment horizontal="center" shrinkToFit="0" vertical="center" wrapText="1"/>
    </xf>
  </cellXfs>
  <cellStyles count="1">
    <cellStyle xfId="0" name="Normal" builtinId="0"/>
  </cellStyles>
  <dxfs count="5">
    <dxf>
      <font>
        <b/>
        <color rgb="FF2B6630"/>
      </font>
      <fill>
        <patternFill patternType="solid">
          <fgColor rgb="FFE3F1DF"/>
          <bgColor rgb="FFE3F1DF"/>
        </patternFill>
      </fill>
      <border/>
    </dxf>
    <dxf>
      <font>
        <b/>
        <color rgb="FF855400"/>
      </font>
      <fill>
        <patternFill patternType="solid">
          <fgColor rgb="FFFBEFD4"/>
          <bgColor rgb="FFFBEFD4"/>
        </patternFill>
      </fill>
      <border/>
    </dxf>
    <dxf>
      <font>
        <b/>
        <color rgb="FF44546A"/>
      </font>
      <fill>
        <patternFill patternType="solid">
          <fgColor rgb="FFEDEFF3"/>
          <bgColor rgb="FFEDEFF3"/>
        </patternFill>
      </fill>
      <border/>
    </dxf>
    <dxf>
      <font>
        <b/>
        <color rgb="FFA2322A"/>
      </font>
      <fill>
        <patternFill patternType="solid">
          <fgColor rgb="FFFAE3E0"/>
          <bgColor rgb="FFFAE3E0"/>
        </patternFill>
      </fill>
      <border/>
    </dxf>
    <dxf>
      <font>
        <b/>
        <color rgb="FF7F7F7F"/>
      </font>
      <fill>
        <patternFill patternType="solid">
          <fgColor rgb="FFF2F2F2"/>
          <bgColor rgb="FFF2F2F2"/>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customschemas.google.com/relationships/workbookmetadata" Target="metadata"/><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Burndown · Sprint 1 (Documentación fase 1)</a:t>
            </a:r>
          </a:p>
        </c:rich>
      </c:tx>
      <c:overlay val="0"/>
    </c:title>
    <c:plotArea>
      <c:layout/>
      <c:lineChart>
        <c:ser>
          <c:idx val="0"/>
          <c:order val="0"/>
          <c:tx>
            <c:v>Ideal</c:v>
          </c:tx>
          <c:spPr>
            <a:ln cmpd="sng" w="19050">
              <a:solidFill>
                <a:srgbClr val="8C9994">
                  <a:alpha val="100000"/>
                </a:srgbClr>
              </a:solidFill>
              <a:prstDash val="dash"/>
            </a:ln>
          </c:spPr>
          <c:marker>
            <c:symbol val="none"/>
          </c:marker>
          <c:cat>
            <c:strRef>
              <c:f>'H3 Sprint 1'!$B$25:$B$54</c:f>
            </c:strRef>
          </c:cat>
          <c:val>
            <c:numRef>
              <c:f>'H3 Sprint 1'!$C$25:$C$54</c:f>
              <c:numCache/>
            </c:numRef>
          </c:val>
          <c:smooth val="0"/>
        </c:ser>
        <c:ser>
          <c:idx val="1"/>
          <c:order val="1"/>
          <c:tx>
            <c:v>Pendientes</c:v>
          </c:tx>
          <c:spPr>
            <a:ln cmpd="sng" w="19050">
              <a:solidFill>
                <a:srgbClr val="15865A">
                  <a:alpha val="100000"/>
                </a:srgbClr>
              </a:solidFill>
            </a:ln>
          </c:spPr>
          <c:marker>
            <c:symbol val="circle"/>
            <c:size val="7"/>
            <c:spPr>
              <a:solidFill>
                <a:srgbClr val="15865A">
                  <a:alpha val="100000"/>
                </a:srgbClr>
              </a:solidFill>
              <a:ln cmpd="sng">
                <a:solidFill>
                  <a:srgbClr val="15865A">
                    <a:alpha val="100000"/>
                  </a:srgbClr>
                </a:solidFill>
              </a:ln>
            </c:spPr>
          </c:marker>
          <c:cat>
            <c:strRef>
              <c:f>'H3 Sprint 1'!$B$25:$B$54</c:f>
            </c:strRef>
          </c:cat>
          <c:val>
            <c:numRef>
              <c:f>'H3 Sprint 1'!$D$25:$D$54</c:f>
              <c:numCache/>
            </c:numRef>
          </c:val>
          <c:smooth val="0"/>
        </c:ser>
        <c:axId val="62059017"/>
        <c:axId val="2116395818"/>
      </c:lineChart>
      <c:catAx>
        <c:axId val="62059017"/>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Día del sprint</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2116395818"/>
      </c:catAx>
      <c:valAx>
        <c:axId val="2116395818"/>
        <c:scaling>
          <c:orientation val="minMax"/>
          <c:min val="0.0"/>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Tareas pendientes</a:t>
                </a:r>
              </a:p>
            </c:rich>
          </c:tx>
          <c:overlay val="0"/>
        </c:title>
        <c:numFmt formatCode="General" sourceLinked="0"/>
        <c:majorTickMark val="none"/>
        <c:minorTickMark val="none"/>
        <c:tickLblPos val="nextTo"/>
        <c:spPr>
          <a:ln>
            <a:noFill/>
          </a:ln>
        </c:spPr>
        <c:txPr>
          <a:bodyPr/>
          <a:lstStyle/>
          <a:p>
            <a:pPr lvl="0">
              <a:defRPr b="0" i="0" sz="1000">
                <a:solidFill>
                  <a:srgbClr val="000000"/>
                </a:solidFill>
                <a:latin typeface="Calibri"/>
              </a:defRPr>
            </a:pPr>
          </a:p>
        </c:txPr>
        <c:crossAx val="62059017"/>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Burndown · Sprint 2 (Front-end móvil)</a:t>
            </a:r>
          </a:p>
        </c:rich>
      </c:tx>
      <c:overlay val="0"/>
    </c:title>
    <c:plotArea>
      <c:layout/>
      <c:lineChart>
        <c:ser>
          <c:idx val="0"/>
          <c:order val="0"/>
          <c:tx>
            <c:v>Ideal</c:v>
          </c:tx>
          <c:spPr>
            <a:ln cmpd="sng" w="19050">
              <a:solidFill>
                <a:srgbClr val="8C9994">
                  <a:alpha val="100000"/>
                </a:srgbClr>
              </a:solidFill>
              <a:prstDash val="dash"/>
            </a:ln>
          </c:spPr>
          <c:marker>
            <c:symbol val="none"/>
          </c:marker>
          <c:cat>
            <c:strRef>
              <c:f>'H4 Sprint 2'!$B$26:$B$53</c:f>
            </c:strRef>
          </c:cat>
          <c:val>
            <c:numRef>
              <c:f>'H4 Sprint 2'!$C$26:$C$53</c:f>
              <c:numCache/>
            </c:numRef>
          </c:val>
          <c:smooth val="0"/>
        </c:ser>
        <c:ser>
          <c:idx val="1"/>
          <c:order val="1"/>
          <c:tx>
            <c:v>Pendientes</c:v>
          </c:tx>
          <c:spPr>
            <a:ln cmpd="sng" w="19050">
              <a:solidFill>
                <a:srgbClr val="15865A">
                  <a:alpha val="100000"/>
                </a:srgbClr>
              </a:solidFill>
            </a:ln>
          </c:spPr>
          <c:marker>
            <c:symbol val="circle"/>
            <c:size val="7"/>
            <c:spPr>
              <a:solidFill>
                <a:srgbClr val="15865A">
                  <a:alpha val="100000"/>
                </a:srgbClr>
              </a:solidFill>
              <a:ln cmpd="sng">
                <a:solidFill>
                  <a:srgbClr val="15865A">
                    <a:alpha val="100000"/>
                  </a:srgbClr>
                </a:solidFill>
              </a:ln>
            </c:spPr>
          </c:marker>
          <c:cat>
            <c:strRef>
              <c:f>'H4 Sprint 2'!$B$26:$B$53</c:f>
            </c:strRef>
          </c:cat>
          <c:val>
            <c:numRef>
              <c:f>'H4 Sprint 2'!$D$26:$D$53</c:f>
              <c:numCache/>
            </c:numRef>
          </c:val>
          <c:smooth val="0"/>
        </c:ser>
        <c:axId val="940411218"/>
        <c:axId val="964712853"/>
      </c:lineChart>
      <c:catAx>
        <c:axId val="940411218"/>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Día del sprint</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964712853"/>
      </c:catAx>
      <c:valAx>
        <c:axId val="964712853"/>
        <c:scaling>
          <c:orientation val="minMax"/>
          <c:min val="0.0"/>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Tareas pendientes</a:t>
                </a:r>
              </a:p>
            </c:rich>
          </c:tx>
          <c:overlay val="0"/>
        </c:title>
        <c:numFmt formatCode="General" sourceLinked="0"/>
        <c:majorTickMark val="none"/>
        <c:minorTickMark val="none"/>
        <c:tickLblPos val="nextTo"/>
        <c:spPr>
          <a:ln>
            <a:noFill/>
          </a:ln>
        </c:spPr>
        <c:txPr>
          <a:bodyPr/>
          <a:lstStyle/>
          <a:p>
            <a:pPr lvl="0">
              <a:defRPr b="0" i="0" sz="1000">
                <a:solidFill>
                  <a:srgbClr val="000000"/>
                </a:solidFill>
                <a:latin typeface="Calibri"/>
              </a:defRPr>
            </a:pPr>
          </a:p>
        </c:txPr>
        <c:crossAx val="940411218"/>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Burndown · Sprint 3 (Complemento)</a:t>
            </a:r>
          </a:p>
        </c:rich>
      </c:tx>
      <c:overlay val="0"/>
    </c:title>
    <c:plotArea>
      <c:layout/>
      <c:lineChart>
        <c:ser>
          <c:idx val="0"/>
          <c:order val="0"/>
          <c:tx>
            <c:v>Ideal</c:v>
          </c:tx>
          <c:spPr>
            <a:ln cmpd="sng" w="19050">
              <a:solidFill>
                <a:srgbClr val="8C9994">
                  <a:alpha val="100000"/>
                </a:srgbClr>
              </a:solidFill>
              <a:prstDash val="dash"/>
            </a:ln>
          </c:spPr>
          <c:marker>
            <c:symbol val="none"/>
          </c:marker>
          <c:cat>
            <c:strRef>
              <c:f>'H5 Sprint 3'!$B$29:$B$49</c:f>
            </c:strRef>
          </c:cat>
          <c:val>
            <c:numRef>
              <c:f>'H5 Sprint 3'!$C$29:$C$49</c:f>
              <c:numCache/>
            </c:numRef>
          </c:val>
          <c:smooth val="0"/>
        </c:ser>
        <c:ser>
          <c:idx val="1"/>
          <c:order val="1"/>
          <c:tx>
            <c:v>Pendientes</c:v>
          </c:tx>
          <c:spPr>
            <a:ln cmpd="sng" w="19050">
              <a:solidFill>
                <a:srgbClr val="15865A">
                  <a:alpha val="100000"/>
                </a:srgbClr>
              </a:solidFill>
            </a:ln>
          </c:spPr>
          <c:marker>
            <c:symbol val="circle"/>
            <c:size val="7"/>
            <c:spPr>
              <a:solidFill>
                <a:srgbClr val="15865A">
                  <a:alpha val="100000"/>
                </a:srgbClr>
              </a:solidFill>
              <a:ln cmpd="sng">
                <a:solidFill>
                  <a:srgbClr val="15865A">
                    <a:alpha val="100000"/>
                  </a:srgbClr>
                </a:solidFill>
              </a:ln>
            </c:spPr>
          </c:marker>
          <c:cat>
            <c:strRef>
              <c:f>'H5 Sprint 3'!$B$29:$B$49</c:f>
            </c:strRef>
          </c:cat>
          <c:val>
            <c:numRef>
              <c:f>'H5 Sprint 3'!$D$29:$D$49</c:f>
              <c:numCache/>
            </c:numRef>
          </c:val>
          <c:smooth val="0"/>
        </c:ser>
        <c:axId val="2019936139"/>
        <c:axId val="1453119470"/>
      </c:lineChart>
      <c:catAx>
        <c:axId val="2019936139"/>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Día del sprint</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453119470"/>
      </c:catAx>
      <c:valAx>
        <c:axId val="1453119470"/>
        <c:scaling>
          <c:orientation val="minMax"/>
          <c:min val="0.0"/>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Tareas pendientes</a:t>
                </a:r>
              </a:p>
            </c:rich>
          </c:tx>
          <c:overlay val="0"/>
        </c:title>
        <c:numFmt formatCode="General" sourceLinked="0"/>
        <c:majorTickMark val="none"/>
        <c:minorTickMark val="none"/>
        <c:tickLblPos val="nextTo"/>
        <c:spPr>
          <a:ln>
            <a:noFill/>
          </a:ln>
        </c:spPr>
        <c:txPr>
          <a:bodyPr/>
          <a:lstStyle/>
          <a:p>
            <a:pPr lvl="0">
              <a:defRPr b="0" i="0" sz="1000">
                <a:solidFill>
                  <a:srgbClr val="000000"/>
                </a:solidFill>
                <a:latin typeface="Calibri"/>
              </a:defRPr>
            </a:pPr>
          </a:p>
        </c:txPr>
        <c:crossAx val="2019936139"/>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Burndown · Sprint 4 (Backend)</a:t>
            </a:r>
          </a:p>
        </c:rich>
      </c:tx>
      <c:overlay val="0"/>
    </c:title>
    <c:plotArea>
      <c:layout/>
      <c:lineChart>
        <c:ser>
          <c:idx val="0"/>
          <c:order val="0"/>
          <c:tx>
            <c:v>Ideal</c:v>
          </c:tx>
          <c:spPr>
            <a:ln cmpd="sng" w="19050">
              <a:solidFill>
                <a:srgbClr val="8C9994">
                  <a:alpha val="100000"/>
                </a:srgbClr>
              </a:solidFill>
              <a:prstDash val="dash"/>
            </a:ln>
          </c:spPr>
          <c:marker>
            <c:symbol val="none"/>
          </c:marker>
          <c:cat>
            <c:strRef>
              <c:f>'H12 Sprint 4'!$B$31:$B$58</c:f>
            </c:strRef>
          </c:cat>
          <c:val>
            <c:numRef>
              <c:f>'H12 Sprint 4'!$C$31:$C$58</c:f>
              <c:numCache/>
            </c:numRef>
          </c:val>
          <c:smooth val="0"/>
        </c:ser>
        <c:ser>
          <c:idx val="1"/>
          <c:order val="1"/>
          <c:tx>
            <c:v>Pendientes</c:v>
          </c:tx>
          <c:spPr>
            <a:ln cmpd="sng" w="19050">
              <a:solidFill>
                <a:srgbClr val="15865A">
                  <a:alpha val="100000"/>
                </a:srgbClr>
              </a:solidFill>
            </a:ln>
          </c:spPr>
          <c:marker>
            <c:symbol val="circle"/>
            <c:size val="7"/>
            <c:spPr>
              <a:solidFill>
                <a:srgbClr val="15865A">
                  <a:alpha val="100000"/>
                </a:srgbClr>
              </a:solidFill>
              <a:ln cmpd="sng">
                <a:solidFill>
                  <a:srgbClr val="15865A">
                    <a:alpha val="100000"/>
                  </a:srgbClr>
                </a:solidFill>
              </a:ln>
            </c:spPr>
          </c:marker>
          <c:cat>
            <c:strRef>
              <c:f>'H12 Sprint 4'!$B$31:$B$58</c:f>
            </c:strRef>
          </c:cat>
          <c:val>
            <c:numRef>
              <c:f>'H12 Sprint 4'!$D$31:$D$58</c:f>
              <c:numCache/>
            </c:numRef>
          </c:val>
          <c:smooth val="0"/>
        </c:ser>
        <c:axId val="1847511955"/>
        <c:axId val="771488574"/>
      </c:lineChart>
      <c:catAx>
        <c:axId val="1847511955"/>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Día del sprint</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771488574"/>
      </c:catAx>
      <c:valAx>
        <c:axId val="771488574"/>
        <c:scaling>
          <c:orientation val="minMax"/>
          <c:min val="0.0"/>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Tareas pendientes</a:t>
                </a:r>
              </a:p>
            </c:rich>
          </c:tx>
          <c:overlay val="0"/>
        </c:title>
        <c:numFmt formatCode="General" sourceLinked="0"/>
        <c:majorTickMark val="none"/>
        <c:minorTickMark val="none"/>
        <c:tickLblPos val="nextTo"/>
        <c:spPr>
          <a:ln>
            <a:noFill/>
          </a:ln>
        </c:spPr>
        <c:txPr>
          <a:bodyPr/>
          <a:lstStyle/>
          <a:p>
            <a:pPr lvl="0">
              <a:defRPr b="0" i="0" sz="1000">
                <a:solidFill>
                  <a:srgbClr val="000000"/>
                </a:solidFill>
                <a:latin typeface="Calibri"/>
              </a:defRPr>
            </a:pPr>
          </a:p>
        </c:txPr>
        <c:crossAx val="1847511955"/>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Burndown · Sprint 5 (Front-end web)</a:t>
            </a:r>
          </a:p>
        </c:rich>
      </c:tx>
      <c:overlay val="0"/>
    </c:title>
    <c:plotArea>
      <c:layout/>
      <c:lineChart>
        <c:ser>
          <c:idx val="0"/>
          <c:order val="0"/>
          <c:tx>
            <c:v>Ideal</c:v>
          </c:tx>
          <c:spPr>
            <a:ln cmpd="sng" w="19050">
              <a:solidFill>
                <a:srgbClr val="8C9994">
                  <a:alpha val="100000"/>
                </a:srgbClr>
              </a:solidFill>
              <a:prstDash val="dash"/>
            </a:ln>
          </c:spPr>
          <c:marker>
            <c:symbol val="none"/>
          </c:marker>
          <c:cat>
            <c:strRef>
              <c:f>'H13 Sprint 5'!$B$33:$B$53</c:f>
            </c:strRef>
          </c:cat>
          <c:val>
            <c:numRef>
              <c:f>'H13 Sprint 5'!$C$33:$C$53</c:f>
              <c:numCache/>
            </c:numRef>
          </c:val>
          <c:smooth val="0"/>
        </c:ser>
        <c:ser>
          <c:idx val="1"/>
          <c:order val="1"/>
          <c:tx>
            <c:v>Pendientes</c:v>
          </c:tx>
          <c:spPr>
            <a:ln cmpd="sng" w="19050">
              <a:solidFill>
                <a:srgbClr val="15865A">
                  <a:alpha val="100000"/>
                </a:srgbClr>
              </a:solidFill>
            </a:ln>
          </c:spPr>
          <c:marker>
            <c:symbol val="circle"/>
            <c:size val="7"/>
            <c:spPr>
              <a:solidFill>
                <a:srgbClr val="15865A">
                  <a:alpha val="100000"/>
                </a:srgbClr>
              </a:solidFill>
              <a:ln cmpd="sng">
                <a:solidFill>
                  <a:srgbClr val="15865A">
                    <a:alpha val="100000"/>
                  </a:srgbClr>
                </a:solidFill>
              </a:ln>
            </c:spPr>
          </c:marker>
          <c:cat>
            <c:strRef>
              <c:f>'H13 Sprint 5'!$B$33:$B$53</c:f>
            </c:strRef>
          </c:cat>
          <c:val>
            <c:numRef>
              <c:f>'H13 Sprint 5'!$D$33:$D$53</c:f>
              <c:numCache/>
            </c:numRef>
          </c:val>
          <c:smooth val="0"/>
        </c:ser>
        <c:axId val="643593608"/>
        <c:axId val="951356051"/>
      </c:lineChart>
      <c:catAx>
        <c:axId val="643593608"/>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Día del sprint</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951356051"/>
      </c:catAx>
      <c:valAx>
        <c:axId val="951356051"/>
        <c:scaling>
          <c:orientation val="minMax"/>
          <c:min val="0.0"/>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Tareas pendientes</a:t>
                </a:r>
              </a:p>
            </c:rich>
          </c:tx>
          <c:overlay val="0"/>
        </c:title>
        <c:numFmt formatCode="General" sourceLinked="0"/>
        <c:majorTickMark val="none"/>
        <c:minorTickMark val="none"/>
        <c:tickLblPos val="nextTo"/>
        <c:spPr>
          <a:ln>
            <a:noFill/>
          </a:ln>
        </c:spPr>
        <c:txPr>
          <a:bodyPr/>
          <a:lstStyle/>
          <a:p>
            <a:pPr lvl="0">
              <a:defRPr b="0" i="0" sz="1000">
                <a:solidFill>
                  <a:srgbClr val="000000"/>
                </a:solidFill>
                <a:latin typeface="Calibri"/>
              </a:defRPr>
            </a:pPr>
          </a:p>
        </c:txPr>
        <c:crossAx val="643593608"/>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Burndown · Sprint 6 (Conexión)</a:t>
            </a:r>
          </a:p>
        </c:rich>
      </c:tx>
      <c:overlay val="0"/>
    </c:title>
    <c:plotArea>
      <c:layout/>
      <c:lineChart>
        <c:ser>
          <c:idx val="0"/>
          <c:order val="0"/>
          <c:tx>
            <c:v>Ideal</c:v>
          </c:tx>
          <c:spPr>
            <a:ln cmpd="sng" w="19050">
              <a:solidFill>
                <a:srgbClr val="8C9994">
                  <a:alpha val="100000"/>
                </a:srgbClr>
              </a:solidFill>
              <a:prstDash val="dash"/>
            </a:ln>
          </c:spPr>
          <c:marker>
            <c:symbol val="none"/>
          </c:marker>
          <c:cat>
            <c:strRef>
              <c:f>'H14 Sprint 6'!$B$28:$B$49</c:f>
            </c:strRef>
          </c:cat>
          <c:val>
            <c:numRef>
              <c:f>'H14 Sprint 6'!$C$28:$C$49</c:f>
              <c:numCache/>
            </c:numRef>
          </c:val>
          <c:smooth val="0"/>
        </c:ser>
        <c:ser>
          <c:idx val="1"/>
          <c:order val="1"/>
          <c:tx>
            <c:v>Pendientes</c:v>
          </c:tx>
          <c:spPr>
            <a:ln cmpd="sng" w="19050">
              <a:solidFill>
                <a:srgbClr val="15865A">
                  <a:alpha val="100000"/>
                </a:srgbClr>
              </a:solidFill>
            </a:ln>
          </c:spPr>
          <c:marker>
            <c:symbol val="circle"/>
            <c:size val="7"/>
            <c:spPr>
              <a:solidFill>
                <a:srgbClr val="15865A">
                  <a:alpha val="100000"/>
                </a:srgbClr>
              </a:solidFill>
              <a:ln cmpd="sng">
                <a:solidFill>
                  <a:srgbClr val="15865A">
                    <a:alpha val="100000"/>
                  </a:srgbClr>
                </a:solidFill>
              </a:ln>
            </c:spPr>
          </c:marker>
          <c:cat>
            <c:strRef>
              <c:f>'H14 Sprint 6'!$B$28:$B$49</c:f>
            </c:strRef>
          </c:cat>
          <c:val>
            <c:numRef>
              <c:f>'H14 Sprint 6'!$D$28:$D$49</c:f>
              <c:numCache/>
            </c:numRef>
          </c:val>
          <c:smooth val="0"/>
        </c:ser>
        <c:axId val="1008459845"/>
        <c:axId val="145361135"/>
      </c:lineChart>
      <c:catAx>
        <c:axId val="1008459845"/>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Día del sprint</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45361135"/>
      </c:catAx>
      <c:valAx>
        <c:axId val="145361135"/>
        <c:scaling>
          <c:orientation val="minMax"/>
          <c:min val="0.0"/>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Tareas pendientes</a:t>
                </a:r>
              </a:p>
            </c:rich>
          </c:tx>
          <c:overlay val="0"/>
        </c:title>
        <c:numFmt formatCode="General" sourceLinked="0"/>
        <c:majorTickMark val="none"/>
        <c:minorTickMark val="none"/>
        <c:tickLblPos val="nextTo"/>
        <c:spPr>
          <a:ln>
            <a:noFill/>
          </a:ln>
        </c:spPr>
        <c:txPr>
          <a:bodyPr/>
          <a:lstStyle/>
          <a:p>
            <a:pPr lvl="0">
              <a:defRPr b="0" i="0" sz="1000">
                <a:solidFill>
                  <a:srgbClr val="000000"/>
                </a:solidFill>
                <a:latin typeface="Calibri"/>
              </a:defRPr>
            </a:pPr>
          </a:p>
        </c:txPr>
        <c:crossAx val="1008459845"/>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000000"/>
                </a:solidFill>
                <a:latin typeface="Calibri"/>
              </a:defRPr>
            </a:pPr>
            <a:r>
              <a:rPr b="1" i="0" sz="1800">
                <a:solidFill>
                  <a:srgbClr val="000000"/>
                </a:solidFill>
                <a:latin typeface="Calibri"/>
              </a:rPr>
              <a:t>Burndown · Sprint 7 (Documentación fase 2 y cierre)</a:t>
            </a:r>
          </a:p>
        </c:rich>
      </c:tx>
      <c:overlay val="0"/>
    </c:title>
    <c:plotArea>
      <c:layout/>
      <c:lineChart>
        <c:ser>
          <c:idx val="0"/>
          <c:order val="0"/>
          <c:tx>
            <c:v>Ideal</c:v>
          </c:tx>
          <c:spPr>
            <a:ln cmpd="sng" w="19050">
              <a:solidFill>
                <a:srgbClr val="8C9994">
                  <a:alpha val="100000"/>
                </a:srgbClr>
              </a:solidFill>
              <a:prstDash val="dash"/>
            </a:ln>
          </c:spPr>
          <c:marker>
            <c:symbol val="none"/>
          </c:marker>
          <c:cat>
            <c:strRef>
              <c:f>'H15 Sprint 7'!$B$27:$B$38</c:f>
            </c:strRef>
          </c:cat>
          <c:val>
            <c:numRef>
              <c:f>'H15 Sprint 7'!$C$27:$C$38</c:f>
              <c:numCache/>
            </c:numRef>
          </c:val>
          <c:smooth val="0"/>
        </c:ser>
        <c:axId val="801625821"/>
        <c:axId val="1398870814"/>
      </c:lineChart>
      <c:catAx>
        <c:axId val="801625821"/>
        <c:scaling>
          <c:orientation val="minMax"/>
        </c:scaling>
        <c:delete val="0"/>
        <c:axPos val="b"/>
        <c:title>
          <c:tx>
            <c:rich>
              <a:bodyPr/>
              <a:lstStyle/>
              <a:p>
                <a:pPr lvl="0">
                  <a:defRPr b="1" i="0" sz="1000">
                    <a:solidFill>
                      <a:srgbClr val="000000"/>
                    </a:solidFill>
                    <a:latin typeface="Calibri"/>
                  </a:defRPr>
                </a:pPr>
                <a:r>
                  <a:rPr b="1" i="0" sz="1000">
                    <a:solidFill>
                      <a:srgbClr val="000000"/>
                    </a:solidFill>
                    <a:latin typeface="Calibri"/>
                  </a:rPr>
                  <a:t>Día del sprint</a:t>
                </a:r>
              </a:p>
            </c:rich>
          </c:tx>
          <c:overlay val="0"/>
        </c:title>
        <c:numFmt formatCode="General" sourceLinked="0"/>
        <c:majorTickMark val="none"/>
        <c:minorTickMark val="none"/>
        <c:spPr>
          <a:ln>
            <a:noFill/>
          </a:ln>
        </c:spPr>
        <c:txPr>
          <a:bodyPr/>
          <a:lstStyle/>
          <a:p>
            <a:pPr lvl="0">
              <a:defRPr b="0" i="0" sz="1000">
                <a:solidFill>
                  <a:srgbClr val="000000"/>
                </a:solidFill>
                <a:latin typeface="Calibri"/>
              </a:defRPr>
            </a:pPr>
          </a:p>
        </c:txPr>
        <c:crossAx val="1398870814"/>
      </c:catAx>
      <c:valAx>
        <c:axId val="1398870814"/>
        <c:scaling>
          <c:orientation val="minMax"/>
          <c:min val="0.0"/>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Tareas pendientes</a:t>
                </a:r>
              </a:p>
            </c:rich>
          </c:tx>
          <c:overlay val="0"/>
        </c:title>
        <c:numFmt formatCode="General" sourceLinked="0"/>
        <c:majorTickMark val="none"/>
        <c:minorTickMark val="none"/>
        <c:tickLblPos val="nextTo"/>
        <c:spPr>
          <a:ln>
            <a:noFill/>
          </a:ln>
        </c:spPr>
        <c:txPr>
          <a:bodyPr/>
          <a:lstStyle/>
          <a:p>
            <a:pPr lvl="0">
              <a:defRPr b="0" i="0" sz="1000">
                <a:solidFill>
                  <a:srgbClr val="000000"/>
                </a:solidFill>
                <a:latin typeface="Calibri"/>
              </a:defRPr>
            </a:pPr>
          </a:p>
        </c:txPr>
        <c:crossAx val="801625821"/>
      </c:valAx>
    </c:plotArea>
    <c:legend>
      <c:legendPos val="b"/>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1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4.xml"/></Relationships>
</file>

<file path=xl/drawings/_rels/drawing2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2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22</xdr:row>
      <xdr:rowOff>152400</xdr:rowOff>
    </xdr:from>
    <xdr:ext cx="6134100" cy="3181350"/>
    <xdr:graphicFrame>
      <xdr:nvGraphicFramePr>
        <xdr:cNvPr id="1068038182"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23</xdr:row>
      <xdr:rowOff>152400</xdr:rowOff>
    </xdr:from>
    <xdr:ext cx="6134100" cy="3181350"/>
    <xdr:graphicFrame>
      <xdr:nvGraphicFramePr>
        <xdr:cNvPr id="2095887326"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26</xdr:row>
      <xdr:rowOff>152400</xdr:rowOff>
    </xdr:from>
    <xdr:ext cx="6134100" cy="3181350"/>
    <xdr:graphicFrame>
      <xdr:nvGraphicFramePr>
        <xdr:cNvPr id="970061475"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28</xdr:row>
      <xdr:rowOff>152400</xdr:rowOff>
    </xdr:from>
    <xdr:ext cx="6134100" cy="3181350"/>
    <xdr:graphicFrame>
      <xdr:nvGraphicFramePr>
        <xdr:cNvPr id="1518844028"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30</xdr:row>
      <xdr:rowOff>152400</xdr:rowOff>
    </xdr:from>
    <xdr:ext cx="6134100" cy="3181350"/>
    <xdr:graphicFrame>
      <xdr:nvGraphicFramePr>
        <xdr:cNvPr id="1800845448"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25</xdr:row>
      <xdr:rowOff>152400</xdr:rowOff>
    </xdr:from>
    <xdr:ext cx="6134100" cy="3181350"/>
    <xdr:graphicFrame>
      <xdr:nvGraphicFramePr>
        <xdr:cNvPr id="328502748"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24</xdr:row>
      <xdr:rowOff>152400</xdr:rowOff>
    </xdr:from>
    <xdr:ext cx="6143625" cy="3181350"/>
    <xdr:graphicFrame>
      <xdr:nvGraphicFramePr>
        <xdr:cNvPr id="1489685727" name="Chart 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rematesinmobiliarios.cl/"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9.0"/>
    <col customWidth="1" min="2" max="2" width="26.0"/>
    <col customWidth="1" min="3" max="3" width="80.0"/>
    <col customWidth="1" min="4" max="23" width="8.71"/>
  </cols>
  <sheetData>
    <row r="1" ht="18.0" customHeight="1">
      <c r="A1" s="1" t="s">
        <v>0</v>
      </c>
    </row>
    <row r="2">
      <c r="A2" s="2"/>
    </row>
    <row r="4" ht="18.75" customHeight="1">
      <c r="A4" s="3" t="s">
        <v>3</v>
      </c>
      <c r="B4" s="3" t="s">
        <v>4</v>
      </c>
      <c r="C4" s="3" t="s">
        <v>5</v>
      </c>
    </row>
    <row r="5" ht="17.25" customHeight="1">
      <c r="A5" s="4" t="s">
        <v>8</v>
      </c>
      <c r="B5" s="7" t="s">
        <v>16</v>
      </c>
      <c r="C5" s="6" t="s">
        <v>28</v>
      </c>
    </row>
    <row r="6" ht="17.25" customHeight="1">
      <c r="A6" s="9" t="s">
        <v>8</v>
      </c>
      <c r="B6" s="12" t="s">
        <v>31</v>
      </c>
      <c r="C6" s="11" t="s">
        <v>35</v>
      </c>
    </row>
    <row r="7" ht="17.25" customHeight="1">
      <c r="A7" s="4" t="s">
        <v>8</v>
      </c>
      <c r="B7" s="7" t="s">
        <v>36</v>
      </c>
      <c r="C7" s="6" t="s">
        <v>37</v>
      </c>
    </row>
    <row r="8" ht="17.25" customHeight="1">
      <c r="A8" s="9" t="s">
        <v>8</v>
      </c>
      <c r="B8" s="12" t="s">
        <v>38</v>
      </c>
      <c r="C8" s="11" t="s">
        <v>41</v>
      </c>
    </row>
    <row r="9" ht="17.25" customHeight="1">
      <c r="A9" s="4" t="s">
        <v>8</v>
      </c>
      <c r="B9" s="7" t="s">
        <v>44</v>
      </c>
      <c r="C9" s="6" t="s">
        <v>46</v>
      </c>
    </row>
    <row r="10" ht="17.25" customHeight="1">
      <c r="A10" s="9" t="s">
        <v>8</v>
      </c>
      <c r="B10" s="12" t="s">
        <v>48</v>
      </c>
      <c r="C10" s="11" t="s">
        <v>50</v>
      </c>
    </row>
    <row r="11" ht="17.25" customHeight="1">
      <c r="A11" s="4" t="s">
        <v>8</v>
      </c>
      <c r="B11" s="7" t="s">
        <v>55</v>
      </c>
      <c r="C11" s="6" t="s">
        <v>60</v>
      </c>
    </row>
    <row r="12" ht="17.25" customHeight="1">
      <c r="A12" s="9" t="s">
        <v>8</v>
      </c>
      <c r="B12" s="12" t="s">
        <v>64</v>
      </c>
      <c r="C12" s="11" t="s">
        <v>67</v>
      </c>
    </row>
    <row r="13" ht="17.25" customHeight="1">
      <c r="A13" s="4" t="s">
        <v>69</v>
      </c>
      <c r="B13" s="7" t="s">
        <v>70</v>
      </c>
      <c r="C13" s="6" t="s">
        <v>72</v>
      </c>
    </row>
    <row r="14" ht="17.25" customHeight="1">
      <c r="A14" s="9" t="s">
        <v>69</v>
      </c>
      <c r="B14" s="12" t="s">
        <v>74</v>
      </c>
      <c r="C14" s="11" t="s">
        <v>76</v>
      </c>
    </row>
    <row r="15" ht="17.25" customHeight="1">
      <c r="A15" s="4" t="s">
        <v>69</v>
      </c>
      <c r="B15" s="7" t="s">
        <v>80</v>
      </c>
      <c r="C15" s="6" t="s">
        <v>82</v>
      </c>
    </row>
    <row r="16" ht="17.25" customHeight="1">
      <c r="A16" s="9" t="s">
        <v>69</v>
      </c>
      <c r="B16" s="12" t="s">
        <v>87</v>
      </c>
      <c r="C16" s="11" t="s">
        <v>95</v>
      </c>
    </row>
    <row r="17" ht="17.25" customHeight="1">
      <c r="A17" s="4" t="s">
        <v>69</v>
      </c>
      <c r="B17" s="7" t="s">
        <v>99</v>
      </c>
      <c r="C17" s="6" t="s">
        <v>106</v>
      </c>
    </row>
    <row r="18" ht="17.25" customHeight="1">
      <c r="A18" s="9" t="s">
        <v>69</v>
      </c>
      <c r="B18" s="12" t="s">
        <v>110</v>
      </c>
      <c r="C18" s="11" t="s">
        <v>114</v>
      </c>
    </row>
    <row r="19" ht="17.25" customHeight="1">
      <c r="A19" s="4" t="s">
        <v>69</v>
      </c>
      <c r="B19" s="7" t="s">
        <v>118</v>
      </c>
      <c r="C19" s="6" t="s">
        <v>120</v>
      </c>
    </row>
    <row r="20" ht="17.25" customHeight="1">
      <c r="A20" s="9" t="s">
        <v>69</v>
      </c>
      <c r="B20" s="12" t="s">
        <v>125</v>
      </c>
      <c r="C20" s="11" t="s">
        <v>133</v>
      </c>
    </row>
    <row r="21" ht="17.25" customHeight="1">
      <c r="A21" s="4" t="s">
        <v>69</v>
      </c>
      <c r="B21" s="7" t="s">
        <v>141</v>
      </c>
      <c r="C21" s="6" t="s">
        <v>147</v>
      </c>
    </row>
    <row r="22" ht="17.25" customHeight="1">
      <c r="A22" s="9" t="s">
        <v>69</v>
      </c>
      <c r="B22" s="12" t="s">
        <v>150</v>
      </c>
      <c r="C22" s="11" t="s">
        <v>157</v>
      </c>
    </row>
    <row r="23" ht="17.25" customHeight="1">
      <c r="A23" s="4" t="s">
        <v>69</v>
      </c>
      <c r="B23" s="7" t="s">
        <v>158</v>
      </c>
      <c r="C23" s="6" t="s">
        <v>164</v>
      </c>
    </row>
    <row r="24" ht="17.25" customHeight="1">
      <c r="A24" s="9" t="s">
        <v>69</v>
      </c>
      <c r="B24" s="12" t="s">
        <v>168</v>
      </c>
      <c r="C24" s="11" t="s">
        <v>173</v>
      </c>
    </row>
    <row r="25" ht="17.25" customHeight="1">
      <c r="A25" s="4" t="s">
        <v>69</v>
      </c>
      <c r="B25" s="7" t="s">
        <v>175</v>
      </c>
      <c r="C25" s="6" t="s">
        <v>179</v>
      </c>
    </row>
    <row r="26" ht="17.25" customHeight="1">
      <c r="A26" s="9" t="s">
        <v>69</v>
      </c>
      <c r="B26" s="12" t="s">
        <v>181</v>
      </c>
      <c r="C26" s="11" t="s">
        <v>186</v>
      </c>
    </row>
    <row r="27" ht="17.25" customHeight="1">
      <c r="A27" s="4" t="s">
        <v>69</v>
      </c>
      <c r="B27" s="7" t="s">
        <v>191</v>
      </c>
      <c r="C27" s="6" t="s">
        <v>195</v>
      </c>
    </row>
    <row r="28" ht="17.25" customHeight="1">
      <c r="A28" s="9" t="s">
        <v>198</v>
      </c>
      <c r="B28" s="12" t="s">
        <v>199</v>
      </c>
      <c r="C28" s="11" t="s">
        <v>201</v>
      </c>
    </row>
    <row r="29" ht="17.25" customHeight="1">
      <c r="A29" s="4" t="s">
        <v>198</v>
      </c>
      <c r="B29" s="7" t="s">
        <v>203</v>
      </c>
      <c r="C29" s="6" t="s">
        <v>206</v>
      </c>
    </row>
    <row r="30" ht="17.25" customHeight="1">
      <c r="A30" s="9" t="s">
        <v>198</v>
      </c>
      <c r="B30" s="12" t="s">
        <v>211</v>
      </c>
      <c r="C30" s="11" t="s">
        <v>213</v>
      </c>
    </row>
    <row r="31" ht="17.25" customHeight="1">
      <c r="A31" s="4" t="s">
        <v>198</v>
      </c>
      <c r="B31" s="7" t="s">
        <v>217</v>
      </c>
      <c r="C31" s="6" t="s">
        <v>220</v>
      </c>
    </row>
    <row r="32" ht="17.25" customHeight="1">
      <c r="A32" s="9" t="s">
        <v>198</v>
      </c>
      <c r="B32" s="12" t="s">
        <v>223</v>
      </c>
      <c r="C32" s="11" t="s">
        <v>226</v>
      </c>
    </row>
    <row r="33" ht="15.75" customHeight="1"/>
    <row r="34" ht="18.0" customHeight="1">
      <c r="A34" s="27"/>
    </row>
    <row r="35" ht="15.75" customHeight="1">
      <c r="A35" s="31"/>
      <c r="B35" s="32"/>
      <c r="C35" s="33"/>
      <c r="D35" s="33"/>
      <c r="E35" s="33"/>
      <c r="F35" s="33"/>
      <c r="G35" s="33"/>
      <c r="H35" s="33"/>
      <c r="I35" s="33"/>
      <c r="J35" s="33"/>
      <c r="K35" s="33"/>
      <c r="L35" s="33"/>
      <c r="M35" s="33"/>
      <c r="N35" s="33"/>
      <c r="O35" s="33"/>
      <c r="P35" s="33"/>
      <c r="Q35" s="33"/>
      <c r="R35" s="33"/>
      <c r="S35" s="33"/>
      <c r="T35" s="33"/>
      <c r="U35" s="33"/>
      <c r="V35" s="33"/>
      <c r="W35" s="33"/>
      <c r="X35" s="33"/>
      <c r="Y35" s="33"/>
      <c r="Z35" s="33"/>
    </row>
    <row r="36" ht="15.75" customHeight="1">
      <c r="A36" s="31"/>
      <c r="B36" s="32"/>
      <c r="C36" s="33"/>
      <c r="D36" s="33"/>
      <c r="E36" s="33"/>
      <c r="F36" s="33"/>
      <c r="G36" s="33"/>
      <c r="H36" s="33"/>
      <c r="I36" s="33"/>
      <c r="J36" s="33"/>
      <c r="K36" s="33"/>
      <c r="L36" s="33"/>
      <c r="M36" s="33"/>
      <c r="N36" s="33"/>
      <c r="O36" s="33"/>
      <c r="P36" s="33"/>
      <c r="Q36" s="33"/>
      <c r="R36" s="33"/>
      <c r="S36" s="33"/>
      <c r="T36" s="33"/>
      <c r="U36" s="33"/>
      <c r="V36" s="33"/>
      <c r="W36" s="33"/>
      <c r="X36" s="33"/>
      <c r="Y36" s="33"/>
      <c r="Z36" s="33"/>
    </row>
    <row r="37" ht="15.75" customHeight="1">
      <c r="A37" s="31"/>
      <c r="B37" s="32"/>
      <c r="C37" s="33"/>
      <c r="D37" s="33"/>
      <c r="E37" s="33"/>
      <c r="F37" s="33"/>
      <c r="G37" s="33"/>
      <c r="H37" s="33"/>
      <c r="I37" s="33"/>
      <c r="J37" s="33"/>
      <c r="K37" s="33"/>
      <c r="L37" s="33"/>
      <c r="M37" s="33"/>
      <c r="N37" s="33"/>
      <c r="O37" s="33"/>
      <c r="P37" s="33"/>
      <c r="Q37" s="33"/>
      <c r="R37" s="33"/>
      <c r="S37" s="33"/>
      <c r="T37" s="33"/>
      <c r="U37" s="33"/>
      <c r="V37" s="33"/>
      <c r="W37" s="33"/>
      <c r="X37" s="33"/>
      <c r="Y37" s="33"/>
      <c r="Z37" s="33"/>
    </row>
    <row r="38" ht="15.75" customHeight="1">
      <c r="A38" s="31"/>
      <c r="B38" s="32"/>
      <c r="C38" s="33"/>
      <c r="D38" s="33"/>
      <c r="E38" s="33"/>
      <c r="F38" s="33"/>
      <c r="G38" s="33"/>
      <c r="H38" s="33"/>
      <c r="I38" s="33"/>
      <c r="J38" s="33"/>
      <c r="K38" s="33"/>
      <c r="L38" s="33"/>
      <c r="M38" s="33"/>
      <c r="N38" s="33"/>
      <c r="O38" s="33"/>
      <c r="P38" s="33"/>
      <c r="Q38" s="33"/>
      <c r="R38" s="33"/>
      <c r="S38" s="33"/>
      <c r="T38" s="33"/>
      <c r="U38" s="33"/>
      <c r="V38" s="33"/>
      <c r="W38" s="33"/>
      <c r="X38" s="33"/>
      <c r="Y38" s="33"/>
      <c r="Z38" s="33"/>
    </row>
    <row r="39" ht="15.75" customHeight="1">
      <c r="A39" s="31"/>
      <c r="B39" s="32"/>
      <c r="C39" s="33"/>
      <c r="D39" s="33"/>
      <c r="E39" s="33"/>
      <c r="F39" s="33"/>
      <c r="G39" s="33"/>
      <c r="H39" s="33"/>
      <c r="I39" s="33"/>
      <c r="J39" s="33"/>
      <c r="K39" s="33"/>
      <c r="L39" s="33"/>
      <c r="M39" s="33"/>
      <c r="N39" s="33"/>
      <c r="O39" s="33"/>
      <c r="P39" s="33"/>
      <c r="Q39" s="33"/>
      <c r="R39" s="33"/>
      <c r="S39" s="33"/>
      <c r="T39" s="33"/>
      <c r="U39" s="33"/>
      <c r="V39" s="33"/>
      <c r="W39" s="33"/>
      <c r="X39" s="33"/>
      <c r="Y39" s="33"/>
      <c r="Z39" s="33"/>
    </row>
    <row r="40" ht="15.75" customHeight="1">
      <c r="A40" s="31"/>
      <c r="B40" s="32"/>
      <c r="C40" s="33"/>
      <c r="D40" s="33"/>
      <c r="E40" s="33"/>
      <c r="F40" s="33"/>
      <c r="G40" s="33"/>
      <c r="H40" s="33"/>
      <c r="I40" s="33"/>
      <c r="J40" s="33"/>
      <c r="K40" s="33"/>
      <c r="L40" s="33"/>
      <c r="M40" s="33"/>
      <c r="N40" s="33"/>
      <c r="O40" s="33"/>
      <c r="P40" s="33"/>
      <c r="Q40" s="33"/>
      <c r="R40" s="33"/>
      <c r="S40" s="33"/>
      <c r="T40" s="33"/>
      <c r="U40" s="33"/>
      <c r="V40" s="33"/>
      <c r="W40" s="33"/>
      <c r="X40" s="33"/>
      <c r="Y40" s="33"/>
      <c r="Z40" s="33"/>
    </row>
    <row r="41" ht="15.75" customHeight="1">
      <c r="A41" s="31"/>
      <c r="B41" s="32"/>
      <c r="C41" s="33"/>
      <c r="D41" s="33"/>
      <c r="E41" s="33"/>
      <c r="F41" s="33"/>
      <c r="G41" s="33"/>
      <c r="H41" s="33"/>
      <c r="I41" s="33"/>
      <c r="J41" s="33"/>
      <c r="K41" s="33"/>
      <c r="L41" s="33"/>
      <c r="M41" s="33"/>
      <c r="N41" s="33"/>
      <c r="O41" s="33"/>
      <c r="P41" s="33"/>
      <c r="Q41" s="33"/>
      <c r="R41" s="33"/>
      <c r="S41" s="33"/>
      <c r="T41" s="33"/>
      <c r="U41" s="33"/>
      <c r="V41" s="33"/>
      <c r="W41" s="33"/>
      <c r="X41" s="33"/>
      <c r="Y41" s="33"/>
      <c r="Z41" s="33"/>
    </row>
    <row r="42" ht="15.75" customHeight="1"/>
    <row r="43" ht="15.75" customHeight="1">
      <c r="A43" s="35"/>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G1 Squad" location="'G1 Squad'!A1" ref="B5"/>
    <hyperlink display="G2 Épicas" location="'G2 Épicas'!A1" ref="B6"/>
    <hyperlink display="G3 Historias de usuario" location="'G3 Historias de usuario'!A1" ref="B7"/>
    <hyperlink display="G4 Product Backlog" location="'G4 Product Backlog'!A1" ref="B8"/>
    <hyperlink display="G5 Estimación" location="'G5 Estimación'!A1" ref="B9"/>
    <hyperlink display="G6 Entregables" location="'G6 Entregables'!A1" ref="B10"/>
    <hyperlink display="G7 Story Map" location="'G7 Story Map'!A1" ref="B11"/>
    <hyperlink display="G8 Releases" location="'G8 Releases'!A1" ref="B12"/>
    <hyperlink display="H1 Sprints" location="'H1 Sprints'!A1" ref="B13"/>
    <hyperlink display="H2 Definition of Done" location="'H2 Definition of Done'!A1" ref="B14"/>
    <hyperlink display="H3 Sprint 1" location="'H3 Sprint 1'!A1" ref="B15"/>
    <hyperlink display="H4 Sprint 2" location="'H4 Sprint 2'!A1" ref="B16"/>
    <hyperlink display="H5 Sprint 3" location="'H5 Sprint 3'!A1" ref="B17"/>
    <hyperlink display="H6 Scrum Board" location="'H6 Scrum Board'!A1" ref="B18"/>
    <hyperlink display="H7 Daily" location="'H7 Daily'!A1" ref="B19"/>
    <hyperlink display="H8 Impediment Log" location="'H8 Impediment Log'!A1" ref="B20"/>
    <hyperlink display="H9 Evidencias" location="'H9 Evidencias'!A1" ref="B21"/>
    <hyperlink display="H10 Review y feedback" location="'H10 Review y feedback'!A1" ref="B22"/>
    <hyperlink display="H11 Retrospectivas" location="'H11 Retrospectivas'!A1" ref="B23"/>
    <hyperlink display="H12 Sprint 4" location="'H12 Sprint 4'!A1" ref="B24"/>
    <hyperlink display="H13 Sprint 5" location="'H13 Sprint 5'!A1" ref="B25"/>
    <hyperlink display="H14 Sprint 6" location="'H14 Sprint 6'!A1" ref="B26"/>
    <hyperlink display="H15 Sprint 7" location="'H15 Sprint 7'!A1" ref="B27"/>
    <hyperlink display="I1 Plan de pruebas" location="'I1 Plan de pruebas'!A1" ref="B28"/>
    <hyperlink display="I2 Casos de prueba" location="'I2 Casos de prueba'!A1" ref="B29"/>
    <hyperlink display="I3 Pruebas funcionales" location="'I3 Pruebas funcionales'!A1" ref="B30"/>
    <hyperlink display="I4 No funcionales" location="'I4 No funcionales'!A1" ref="B31"/>
    <hyperlink display="I5 Defectos" location="'I5 Defectos'!A1" ref="B32"/>
  </hyperlinks>
  <printOptions/>
  <pageMargins bottom="0.5" footer="0.0" header="0.0" left="0.4" right="0.4" top="0.5"/>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6.0"/>
    <col customWidth="1" min="2" max="2" width="30.0"/>
    <col customWidth="1" min="3" max="3" width="94.0"/>
    <col customWidth="1" min="4" max="4" width="24.0"/>
    <col customWidth="1" min="5" max="5" width="28.0"/>
    <col customWidth="1" min="6" max="6" width="8.71"/>
  </cols>
  <sheetData>
    <row r="1" ht="18.0" customHeight="1">
      <c r="A1" s="1" t="s">
        <v>1</v>
      </c>
    </row>
    <row r="2">
      <c r="A2" s="2"/>
    </row>
    <row r="4" ht="31.5" customHeight="1">
      <c r="A4" s="3" t="s">
        <v>6</v>
      </c>
      <c r="B4" s="3" t="s">
        <v>9</v>
      </c>
      <c r="C4" s="3" t="s">
        <v>11</v>
      </c>
      <c r="D4" s="3" t="s">
        <v>14</v>
      </c>
    </row>
    <row r="5" ht="56.25" customHeight="1">
      <c r="A5" s="5" t="s">
        <v>19</v>
      </c>
      <c r="B5" s="6" t="s">
        <v>23</v>
      </c>
      <c r="C5" s="6" t="s">
        <v>26</v>
      </c>
      <c r="D5" s="8">
        <v>10.0</v>
      </c>
    </row>
    <row r="6" ht="43.5" customHeight="1">
      <c r="A6" s="10" t="s">
        <v>30</v>
      </c>
      <c r="B6" s="11" t="s">
        <v>32</v>
      </c>
      <c r="C6" s="11" t="s">
        <v>33</v>
      </c>
      <c r="D6" s="13">
        <v>10.0</v>
      </c>
    </row>
    <row r="7" ht="43.5" customHeight="1">
      <c r="A7" s="5" t="s">
        <v>39</v>
      </c>
      <c r="B7" s="6" t="s">
        <v>42</v>
      </c>
      <c r="C7" s="6" t="s">
        <v>43</v>
      </c>
      <c r="D7" s="8">
        <v>10.0</v>
      </c>
    </row>
    <row r="8" ht="17.25" customHeight="1">
      <c r="A8" s="19" t="s">
        <v>45</v>
      </c>
      <c r="B8" s="20"/>
      <c r="C8" s="21"/>
      <c r="D8" s="25">
        <f>SUM(D5:D7)</f>
        <v>30</v>
      </c>
    </row>
    <row r="10" ht="18.0" customHeight="1">
      <c r="A10" s="27" t="s">
        <v>81</v>
      </c>
    </row>
    <row r="11" ht="18.75" customHeight="1">
      <c r="A11" s="3" t="s">
        <v>89</v>
      </c>
      <c r="B11" s="3" t="s">
        <v>91</v>
      </c>
      <c r="C11" s="3" t="s">
        <v>94</v>
      </c>
      <c r="D11" s="3" t="s">
        <v>97</v>
      </c>
      <c r="E11" s="3" t="s">
        <v>101</v>
      </c>
    </row>
    <row r="12" ht="30.75" customHeight="1">
      <c r="A12" s="5" t="s">
        <v>104</v>
      </c>
      <c r="B12" s="6" t="s">
        <v>105</v>
      </c>
      <c r="C12" s="6" t="s">
        <v>107</v>
      </c>
      <c r="D12" s="6" t="s">
        <v>30</v>
      </c>
      <c r="E12" s="6" t="s">
        <v>108</v>
      </c>
    </row>
    <row r="13" ht="17.25" customHeight="1">
      <c r="A13" s="10" t="s">
        <v>111</v>
      </c>
      <c r="B13" s="11" t="s">
        <v>112</v>
      </c>
      <c r="C13" s="11" t="s">
        <v>113</v>
      </c>
      <c r="D13" s="11" t="s">
        <v>30</v>
      </c>
      <c r="E13" s="11" t="s">
        <v>108</v>
      </c>
    </row>
    <row r="14" ht="30.75" customHeight="1">
      <c r="A14" s="5" t="s">
        <v>115</v>
      </c>
      <c r="B14" s="6" t="s">
        <v>116</v>
      </c>
      <c r="C14" s="6" t="s">
        <v>117</v>
      </c>
      <c r="D14" s="6" t="s">
        <v>19</v>
      </c>
      <c r="E14" s="6" t="s">
        <v>108</v>
      </c>
    </row>
    <row r="15" ht="56.25" customHeight="1">
      <c r="A15" s="10" t="s">
        <v>121</v>
      </c>
      <c r="B15" s="11" t="s">
        <v>122</v>
      </c>
      <c r="C15" s="11" t="s">
        <v>123</v>
      </c>
      <c r="D15" s="11" t="s">
        <v>19</v>
      </c>
      <c r="E15" s="11" t="s">
        <v>124</v>
      </c>
    </row>
    <row r="16" ht="30.75" customHeight="1">
      <c r="A16" s="5" t="s">
        <v>128</v>
      </c>
      <c r="B16" s="6" t="s">
        <v>129</v>
      </c>
      <c r="C16" s="6" t="s">
        <v>131</v>
      </c>
      <c r="D16" s="6" t="s">
        <v>30</v>
      </c>
      <c r="E16" s="6" t="s">
        <v>108</v>
      </c>
    </row>
    <row r="17" ht="17.25" customHeight="1">
      <c r="A17" s="10" t="s">
        <v>135</v>
      </c>
      <c r="B17" s="11" t="s">
        <v>136</v>
      </c>
      <c r="C17" s="11" t="s">
        <v>138</v>
      </c>
      <c r="D17" s="11" t="s">
        <v>19</v>
      </c>
      <c r="E17" s="11" t="s">
        <v>108</v>
      </c>
    </row>
    <row r="18" ht="30.75" customHeight="1">
      <c r="A18" s="5" t="s">
        <v>143</v>
      </c>
      <c r="B18" s="6" t="s">
        <v>144</v>
      </c>
      <c r="C18" s="6" t="s">
        <v>146</v>
      </c>
      <c r="D18" s="6" t="s">
        <v>30</v>
      </c>
      <c r="E18" s="6" t="s">
        <v>108</v>
      </c>
    </row>
    <row r="19" ht="17.25" customHeight="1">
      <c r="A19" s="10" t="s">
        <v>76</v>
      </c>
      <c r="B19" s="11" t="s">
        <v>148</v>
      </c>
      <c r="C19" s="11" t="s">
        <v>149</v>
      </c>
      <c r="D19" s="11" t="s">
        <v>30</v>
      </c>
      <c r="E19" s="11" t="s">
        <v>108</v>
      </c>
    </row>
    <row r="20" ht="43.5" customHeight="1">
      <c r="A20" s="5" t="s">
        <v>153</v>
      </c>
      <c r="B20" s="6" t="s">
        <v>154</v>
      </c>
      <c r="C20" s="6" t="s">
        <v>155</v>
      </c>
      <c r="D20" s="6" t="s">
        <v>162</v>
      </c>
      <c r="E20" s="6" t="s">
        <v>163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8:C8"/>
  </mergeCells>
  <printOptions/>
  <pageMargins bottom="0.5" footer="0.0" header="0.0" left="0.4" right="0.4" top="0.5"/>
  <pageSetup fitToHeight="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6.0"/>
    <col customWidth="1" min="2" max="2" width="24.0"/>
    <col customWidth="1" min="3" max="3" width="62.0"/>
    <col customWidth="1" min="4" max="4" width="13.0"/>
    <col customWidth="1" min="5" max="6" width="12.0"/>
    <col customWidth="1" min="7" max="7" width="10.0"/>
    <col customWidth="1" min="8" max="8" width="8.0"/>
  </cols>
  <sheetData>
    <row r="1" ht="18.0" customHeight="1">
      <c r="A1" s="1" t="s">
        <v>2</v>
      </c>
    </row>
    <row r="2">
      <c r="A2" s="2"/>
    </row>
    <row r="4" ht="31.5" customHeight="1">
      <c r="A4" s="3" t="s">
        <v>7</v>
      </c>
      <c r="B4" s="3" t="s">
        <v>10</v>
      </c>
      <c r="C4" s="3" t="s">
        <v>12</v>
      </c>
      <c r="D4" s="3" t="s">
        <v>13</v>
      </c>
      <c r="E4" s="3" t="s">
        <v>15</v>
      </c>
      <c r="F4" s="3" t="s">
        <v>17</v>
      </c>
      <c r="G4" s="3" t="s">
        <v>18</v>
      </c>
      <c r="H4" s="3" t="s">
        <v>20</v>
      </c>
    </row>
    <row r="5" ht="43.5" customHeight="1">
      <c r="A5" s="4" t="s">
        <v>21</v>
      </c>
      <c r="B5" s="5" t="s">
        <v>22</v>
      </c>
      <c r="C5" s="6" t="s">
        <v>24</v>
      </c>
      <c r="D5" s="6" t="s">
        <v>25</v>
      </c>
      <c r="E5" s="6" t="s">
        <v>27</v>
      </c>
      <c r="F5" s="4">
        <v>100.0</v>
      </c>
      <c r="G5" s="16">
        <f>COUNTIF('G4 Product Backlog'!$C$5:$C$27,A5)</f>
        <v>4</v>
      </c>
      <c r="H5" s="16">
        <f>SUMIF('G4 Product Backlog'!$C$5:$C$27,A5,'G4 Product Backlog'!$J$5:$J$27)</f>
        <v>18</v>
      </c>
    </row>
    <row r="6" ht="30.75" customHeight="1">
      <c r="A6" s="9" t="s">
        <v>56</v>
      </c>
      <c r="B6" s="10" t="s">
        <v>61</v>
      </c>
      <c r="C6" s="11" t="s">
        <v>63</v>
      </c>
      <c r="D6" s="11" t="s">
        <v>65</v>
      </c>
      <c r="E6" s="11" t="s">
        <v>66</v>
      </c>
      <c r="F6" s="9">
        <v>100.0</v>
      </c>
      <c r="G6" s="24">
        <f>COUNTIF('G4 Product Backlog'!$C$5:$C$27,A6)</f>
        <v>2</v>
      </c>
      <c r="H6" s="24">
        <f>SUMIF('G4 Product Backlog'!$C$5:$C$27,A6,'G4 Product Backlog'!$J$5:$J$27)</f>
        <v>10</v>
      </c>
    </row>
    <row r="7" ht="43.5" customHeight="1">
      <c r="A7" s="4" t="s">
        <v>86</v>
      </c>
      <c r="B7" s="5" t="s">
        <v>90</v>
      </c>
      <c r="C7" s="6" t="s">
        <v>92</v>
      </c>
      <c r="D7" s="6" t="s">
        <v>93</v>
      </c>
      <c r="E7" s="6" t="s">
        <v>96</v>
      </c>
      <c r="F7" s="4">
        <v>100.0</v>
      </c>
      <c r="G7" s="16">
        <f>COUNTIF('G4 Product Backlog'!$C$5:$C$27,A7)</f>
        <v>3</v>
      </c>
      <c r="H7" s="16">
        <f>SUMIF('G4 Product Backlog'!$C$5:$C$27,A7,'G4 Product Backlog'!$J$5:$J$27)</f>
        <v>21</v>
      </c>
    </row>
    <row r="8" ht="30.75" customHeight="1">
      <c r="A8" s="9" t="s">
        <v>127</v>
      </c>
      <c r="B8" s="10" t="s">
        <v>130</v>
      </c>
      <c r="C8" s="11" t="s">
        <v>132</v>
      </c>
      <c r="D8" s="11" t="s">
        <v>134</v>
      </c>
      <c r="E8" s="11" t="s">
        <v>137</v>
      </c>
      <c r="F8" s="9">
        <v>80.0</v>
      </c>
      <c r="G8" s="24">
        <f>COUNTIF('G4 Product Backlog'!$C$5:$C$27,A8)</f>
        <v>3</v>
      </c>
      <c r="H8" s="24">
        <f>SUMIF('G4 Product Backlog'!$C$5:$C$27,A8,'G4 Product Backlog'!$J$5:$J$27)</f>
        <v>14</v>
      </c>
    </row>
    <row r="9" ht="30.75" customHeight="1">
      <c r="A9" s="4" t="s">
        <v>166</v>
      </c>
      <c r="B9" s="5" t="s">
        <v>167</v>
      </c>
      <c r="C9" s="6" t="s">
        <v>169</v>
      </c>
      <c r="D9" s="6" t="s">
        <v>170</v>
      </c>
      <c r="E9" s="6" t="s">
        <v>171</v>
      </c>
      <c r="F9" s="4">
        <v>100.0</v>
      </c>
      <c r="G9" s="16">
        <f>COUNTIF('G4 Product Backlog'!$C$5:$C$27,A9)</f>
        <v>1</v>
      </c>
      <c r="H9" s="16">
        <f>SUMIF('G4 Product Backlog'!$C$5:$C$27,A9,'G4 Product Backlog'!$J$5:$J$27)</f>
        <v>13</v>
      </c>
    </row>
    <row r="10" ht="30.75" customHeight="1">
      <c r="A10" s="9" t="s">
        <v>187</v>
      </c>
      <c r="B10" s="10" t="s">
        <v>188</v>
      </c>
      <c r="C10" s="11" t="s">
        <v>189</v>
      </c>
      <c r="D10" s="11" t="s">
        <v>190</v>
      </c>
      <c r="E10" s="11" t="s">
        <v>193</v>
      </c>
      <c r="F10" s="9">
        <v>80.0</v>
      </c>
      <c r="G10" s="24">
        <f>COUNTIF('G4 Product Backlog'!$C$5:$C$27,A10)</f>
        <v>1</v>
      </c>
      <c r="H10" s="24">
        <f>SUMIF('G4 Product Backlog'!$C$5:$C$27,A10,'G4 Product Backlog'!$J$5:$J$27)</f>
        <v>5</v>
      </c>
    </row>
    <row r="11" ht="43.5" customHeight="1">
      <c r="A11" s="4" t="s">
        <v>210</v>
      </c>
      <c r="B11" s="5" t="s">
        <v>212</v>
      </c>
      <c r="C11" s="6" t="s">
        <v>214</v>
      </c>
      <c r="D11" s="6" t="s">
        <v>215</v>
      </c>
      <c r="E11" s="6" t="s">
        <v>216</v>
      </c>
      <c r="F11" s="4">
        <v>50.0</v>
      </c>
      <c r="G11" s="16">
        <f>COUNTIF('G4 Product Backlog'!$C$5:$C$27,A11)</f>
        <v>4</v>
      </c>
      <c r="H11" s="16">
        <f>SUMIF('G4 Product Backlog'!$C$5:$C$27,A11,'G4 Product Backlog'!$J$5:$J$27)</f>
        <v>21</v>
      </c>
    </row>
    <row r="12" ht="30.75" customHeight="1">
      <c r="A12" s="9" t="s">
        <v>231</v>
      </c>
      <c r="B12" s="10" t="s">
        <v>232</v>
      </c>
      <c r="C12" s="11" t="s">
        <v>233</v>
      </c>
      <c r="D12" s="11" t="s">
        <v>235</v>
      </c>
      <c r="E12" s="11" t="s">
        <v>236</v>
      </c>
      <c r="F12" s="9">
        <v>80.0</v>
      </c>
      <c r="G12" s="24">
        <f>COUNTIF('G4 Product Backlog'!$C$5:$C$27,A12)</f>
        <v>1</v>
      </c>
      <c r="H12" s="24">
        <f>SUMIF('G4 Product Backlog'!$C$5:$C$27,A12,'G4 Product Backlog'!$J$5:$J$27)</f>
        <v>13</v>
      </c>
    </row>
    <row r="13" ht="30.75" customHeight="1">
      <c r="A13" s="4" t="s">
        <v>246</v>
      </c>
      <c r="B13" s="5" t="s">
        <v>248</v>
      </c>
      <c r="C13" s="6" t="s">
        <v>250</v>
      </c>
      <c r="D13" s="6" t="s">
        <v>251</v>
      </c>
      <c r="E13" s="6" t="s">
        <v>253</v>
      </c>
      <c r="F13" s="4">
        <v>100.0</v>
      </c>
      <c r="G13" s="16">
        <f>COUNTIF('G4 Product Backlog'!$C$5:$C$27,A13)</f>
        <v>4</v>
      </c>
      <c r="H13" s="16">
        <f>SUMIF('G4 Product Backlog'!$C$5:$C$27,A13,'G4 Product Backlog'!$J$5:$J$27)</f>
        <v>21</v>
      </c>
    </row>
    <row r="14" ht="17.25" customHeight="1">
      <c r="A14" s="34" t="s">
        <v>260</v>
      </c>
      <c r="B14" s="20"/>
      <c r="C14" s="20"/>
      <c r="D14" s="20"/>
      <c r="E14" s="20"/>
      <c r="F14" s="21"/>
      <c r="G14" s="25">
        <f t="shared" ref="G14:H14" si="1">SUM(G5:G13)</f>
        <v>23</v>
      </c>
      <c r="H14" s="25">
        <f t="shared" si="1"/>
        <v>136</v>
      </c>
    </row>
    <row r="16" ht="18.0" customHeight="1">
      <c r="A16" s="27"/>
      <c r="B16" s="27" t="s">
        <v>285</v>
      </c>
    </row>
    <row r="17" ht="18.75" customHeight="1">
      <c r="B17" s="3" t="s">
        <v>17</v>
      </c>
      <c r="C17" s="3" t="s">
        <v>287</v>
      </c>
    </row>
    <row r="18" ht="17.25" customHeight="1">
      <c r="B18" s="4">
        <v>100.0</v>
      </c>
      <c r="C18" s="6" t="s">
        <v>288</v>
      </c>
    </row>
    <row r="19" ht="17.25" customHeight="1">
      <c r="B19" s="9">
        <v>80.0</v>
      </c>
      <c r="C19" s="11" t="s">
        <v>290</v>
      </c>
    </row>
    <row r="20" ht="17.25" customHeight="1">
      <c r="B20" s="4">
        <v>50.0</v>
      </c>
      <c r="C20" s="6" t="s">
        <v>292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4:F14"/>
  </mergeCells>
  <printOptions/>
  <pageMargins bottom="0.5" footer="0.0" header="0.0" left="0.4" right="0.4" top="0.5"/>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5.0" topLeftCell="A6" activePane="bottomLeft" state="frozen"/>
      <selection activeCell="B7" sqref="B7" pane="bottomLeft"/>
    </sheetView>
  </sheetViews>
  <sheetFormatPr customHeight="1" defaultColWidth="14.43" defaultRowHeight="15.0"/>
  <cols>
    <col customWidth="1" min="1" max="1" width="12.0"/>
    <col customWidth="1" min="2" max="2" width="13.0"/>
    <col customWidth="1" min="3" max="3" width="24.0"/>
    <col customWidth="1" min="4" max="4" width="20.0"/>
    <col customWidth="1" min="5" max="5" width="16.14"/>
    <col customWidth="1" min="6" max="6" width="24.71"/>
    <col customWidth="1" min="7" max="7" width="28.0"/>
    <col customWidth="1" min="8" max="8" width="29.14"/>
    <col customWidth="1" min="9" max="9" width="43.0"/>
  </cols>
  <sheetData>
    <row r="1" ht="18.0" customHeight="1">
      <c r="A1" s="1" t="s">
        <v>29</v>
      </c>
    </row>
    <row r="2">
      <c r="A2" s="2"/>
    </row>
    <row r="4" ht="18.0" customHeight="1">
      <c r="A4" s="14" t="s">
        <v>34</v>
      </c>
      <c r="B4" s="15"/>
      <c r="C4" s="15"/>
      <c r="D4" s="17"/>
      <c r="E4" s="14" t="s">
        <v>40</v>
      </c>
      <c r="F4" s="15"/>
      <c r="G4" s="15"/>
      <c r="H4" s="15"/>
      <c r="I4" s="17"/>
    </row>
    <row r="5" ht="44.25" customHeight="1">
      <c r="A5" s="18" t="s">
        <v>47</v>
      </c>
      <c r="B5" s="18" t="s">
        <v>49</v>
      </c>
      <c r="C5" s="18" t="s">
        <v>51</v>
      </c>
      <c r="D5" s="18" t="s">
        <v>52</v>
      </c>
      <c r="E5" s="18" t="s">
        <v>53</v>
      </c>
      <c r="F5" s="18" t="s">
        <v>54</v>
      </c>
      <c r="G5" s="18" t="s">
        <v>57</v>
      </c>
      <c r="H5" s="18" t="s">
        <v>58</v>
      </c>
      <c r="I5" s="18" t="s">
        <v>59</v>
      </c>
    </row>
    <row r="6" ht="56.25" customHeight="1">
      <c r="A6" s="22" t="s">
        <v>62</v>
      </c>
      <c r="B6" s="23" t="s">
        <v>68</v>
      </c>
      <c r="C6" s="23" t="s">
        <v>71</v>
      </c>
      <c r="D6" s="23" t="s">
        <v>73</v>
      </c>
      <c r="E6" s="16">
        <v>1.0</v>
      </c>
      <c r="F6" s="6" t="s">
        <v>75</v>
      </c>
      <c r="G6" s="6" t="s">
        <v>77</v>
      </c>
      <c r="H6" s="6" t="s">
        <v>78</v>
      </c>
      <c r="I6" s="6" t="s">
        <v>79</v>
      </c>
    </row>
    <row r="7" ht="30.75" customHeight="1">
      <c r="A7" s="26"/>
      <c r="B7" s="26"/>
      <c r="C7" s="26"/>
      <c r="D7" s="26"/>
      <c r="E7" s="16">
        <v>2.0</v>
      </c>
      <c r="F7" s="6" t="s">
        <v>83</v>
      </c>
      <c r="G7" s="6" t="s">
        <v>84</v>
      </c>
      <c r="H7" s="6" t="s">
        <v>85</v>
      </c>
      <c r="I7" s="6" t="s">
        <v>88</v>
      </c>
    </row>
    <row r="8" ht="30.75" customHeight="1">
      <c r="A8" s="28"/>
      <c r="B8" s="28"/>
      <c r="C8" s="28"/>
      <c r="D8" s="28"/>
      <c r="E8" s="16">
        <v>3.0</v>
      </c>
      <c r="F8" s="6" t="s">
        <v>98</v>
      </c>
      <c r="G8" s="6" t="s">
        <v>100</v>
      </c>
      <c r="H8" s="6" t="s">
        <v>102</v>
      </c>
      <c r="I8" s="6" t="s">
        <v>103</v>
      </c>
    </row>
    <row r="9" ht="43.5" customHeight="1">
      <c r="A9" s="29" t="s">
        <v>109</v>
      </c>
      <c r="B9" s="30" t="s">
        <v>68</v>
      </c>
      <c r="C9" s="30" t="s">
        <v>119</v>
      </c>
      <c r="D9" s="30" t="s">
        <v>126</v>
      </c>
      <c r="E9" s="24">
        <v>1.0</v>
      </c>
      <c r="F9" s="11" t="s">
        <v>139</v>
      </c>
      <c r="G9" s="11" t="s">
        <v>140</v>
      </c>
      <c r="H9" s="11" t="s">
        <v>142</v>
      </c>
      <c r="I9" s="11" t="s">
        <v>145</v>
      </c>
    </row>
    <row r="10" ht="30.75" customHeight="1">
      <c r="A10" s="26"/>
      <c r="B10" s="26"/>
      <c r="C10" s="26"/>
      <c r="D10" s="26"/>
      <c r="E10" s="24">
        <v>2.0</v>
      </c>
      <c r="F10" s="11" t="s">
        <v>151</v>
      </c>
      <c r="G10" s="11" t="s">
        <v>152</v>
      </c>
      <c r="H10" s="11" t="s">
        <v>142</v>
      </c>
      <c r="I10" s="11" t="s">
        <v>156</v>
      </c>
    </row>
    <row r="11" ht="30.75" customHeight="1">
      <c r="A11" s="28"/>
      <c r="B11" s="28"/>
      <c r="C11" s="28"/>
      <c r="D11" s="28"/>
      <c r="E11" s="24">
        <v>3.0</v>
      </c>
      <c r="F11" s="11" t="s">
        <v>159</v>
      </c>
      <c r="G11" s="11" t="s">
        <v>160</v>
      </c>
      <c r="H11" s="11" t="s">
        <v>142</v>
      </c>
      <c r="I11" s="11" t="s">
        <v>161</v>
      </c>
    </row>
    <row r="12" ht="43.5" customHeight="1">
      <c r="A12" s="22" t="s">
        <v>165</v>
      </c>
      <c r="B12" s="23" t="s">
        <v>68</v>
      </c>
      <c r="C12" s="23" t="s">
        <v>172</v>
      </c>
      <c r="D12" s="23" t="s">
        <v>174</v>
      </c>
      <c r="E12" s="16">
        <v>1.0</v>
      </c>
      <c r="F12" s="6" t="s">
        <v>176</v>
      </c>
      <c r="G12" s="6" t="s">
        <v>177</v>
      </c>
      <c r="H12" s="6" t="s">
        <v>178</v>
      </c>
      <c r="I12" s="6" t="s">
        <v>180</v>
      </c>
    </row>
    <row r="13" ht="43.5" customHeight="1">
      <c r="A13" s="26"/>
      <c r="B13" s="26"/>
      <c r="C13" s="26"/>
      <c r="D13" s="26"/>
      <c r="E13" s="16">
        <v>2.0</v>
      </c>
      <c r="F13" s="6" t="s">
        <v>182</v>
      </c>
      <c r="G13" s="6" t="s">
        <v>183</v>
      </c>
      <c r="H13" s="6" t="s">
        <v>184</v>
      </c>
      <c r="I13" s="6" t="s">
        <v>185</v>
      </c>
    </row>
    <row r="14" ht="69.0" customHeight="1">
      <c r="A14" s="28"/>
      <c r="B14" s="28"/>
      <c r="C14" s="28"/>
      <c r="D14" s="28"/>
      <c r="E14" s="16">
        <v>3.0</v>
      </c>
      <c r="F14" s="6" t="s">
        <v>192</v>
      </c>
      <c r="G14" s="6" t="s">
        <v>194</v>
      </c>
      <c r="H14" s="6" t="s">
        <v>184</v>
      </c>
      <c r="I14" s="6" t="s">
        <v>196</v>
      </c>
    </row>
    <row r="15" ht="30.75" customHeight="1">
      <c r="A15" s="29" t="s">
        <v>197</v>
      </c>
      <c r="B15" s="30" t="s">
        <v>200</v>
      </c>
      <c r="C15" s="30" t="s">
        <v>202</v>
      </c>
      <c r="D15" s="30" t="s">
        <v>204</v>
      </c>
      <c r="E15" s="24">
        <v>1.0</v>
      </c>
      <c r="F15" s="11" t="s">
        <v>205</v>
      </c>
      <c r="G15" s="11" t="s">
        <v>207</v>
      </c>
      <c r="H15" s="11" t="s">
        <v>208</v>
      </c>
      <c r="I15" s="11" t="s">
        <v>209</v>
      </c>
    </row>
    <row r="16" ht="30.75" customHeight="1">
      <c r="A16" s="26"/>
      <c r="B16" s="26"/>
      <c r="C16" s="26"/>
      <c r="D16" s="26"/>
      <c r="E16" s="24">
        <v>2.0</v>
      </c>
      <c r="F16" s="11" t="s">
        <v>218</v>
      </c>
      <c r="G16" s="11" t="s">
        <v>219</v>
      </c>
      <c r="H16" s="11" t="s">
        <v>221</v>
      </c>
      <c r="I16" s="11" t="s">
        <v>222</v>
      </c>
    </row>
    <row r="17" ht="30.75" customHeight="1">
      <c r="A17" s="28"/>
      <c r="B17" s="28"/>
      <c r="C17" s="28"/>
      <c r="D17" s="28"/>
      <c r="E17" s="24">
        <v>3.0</v>
      </c>
      <c r="F17" s="11" t="s">
        <v>224</v>
      </c>
      <c r="G17" s="11" t="s">
        <v>225</v>
      </c>
      <c r="H17" s="11" t="s">
        <v>227</v>
      </c>
      <c r="I17" s="11" t="s">
        <v>228</v>
      </c>
    </row>
    <row r="18" ht="30.75" customHeight="1">
      <c r="A18" s="22" t="s">
        <v>229</v>
      </c>
      <c r="B18" s="23" t="s">
        <v>68</v>
      </c>
      <c r="C18" s="23" t="s">
        <v>230</v>
      </c>
      <c r="D18" s="23" t="s">
        <v>234</v>
      </c>
      <c r="E18" s="16">
        <v>1.0</v>
      </c>
      <c r="F18" s="6" t="s">
        <v>237</v>
      </c>
      <c r="G18" s="6" t="s">
        <v>238</v>
      </c>
      <c r="H18" s="6" t="s">
        <v>239</v>
      </c>
      <c r="I18" s="6" t="s">
        <v>240</v>
      </c>
    </row>
    <row r="19" ht="17.25" customHeight="1">
      <c r="A19" s="26"/>
      <c r="B19" s="26"/>
      <c r="C19" s="26"/>
      <c r="D19" s="26"/>
      <c r="E19" s="16">
        <v>2.0</v>
      </c>
      <c r="F19" s="6" t="s">
        <v>241</v>
      </c>
      <c r="G19" s="6" t="s">
        <v>242</v>
      </c>
      <c r="H19" s="6" t="s">
        <v>239</v>
      </c>
      <c r="I19" s="6" t="s">
        <v>243</v>
      </c>
    </row>
    <row r="20" ht="30.75" customHeight="1">
      <c r="A20" s="28"/>
      <c r="B20" s="28"/>
      <c r="C20" s="28"/>
      <c r="D20" s="28"/>
      <c r="E20" s="16">
        <v>3.0</v>
      </c>
      <c r="F20" s="6" t="s">
        <v>244</v>
      </c>
      <c r="G20" s="6" t="s">
        <v>245</v>
      </c>
      <c r="H20" s="6" t="s">
        <v>247</v>
      </c>
      <c r="I20" s="6" t="s">
        <v>249</v>
      </c>
    </row>
    <row r="21" ht="30.75" customHeight="1">
      <c r="A21" s="29" t="s">
        <v>252</v>
      </c>
      <c r="B21" s="30" t="s">
        <v>68</v>
      </c>
      <c r="C21" s="30" t="s">
        <v>254</v>
      </c>
      <c r="D21" s="30" t="s">
        <v>255</v>
      </c>
      <c r="E21" s="24">
        <v>1.0</v>
      </c>
      <c r="F21" s="11" t="s">
        <v>256</v>
      </c>
      <c r="G21" s="11" t="s">
        <v>257</v>
      </c>
      <c r="H21" s="11" t="s">
        <v>258</v>
      </c>
      <c r="I21" s="11" t="s">
        <v>259</v>
      </c>
    </row>
    <row r="22" ht="30.75" customHeight="1">
      <c r="A22" s="26"/>
      <c r="B22" s="26"/>
      <c r="C22" s="26"/>
      <c r="D22" s="26"/>
      <c r="E22" s="24">
        <v>2.0</v>
      </c>
      <c r="F22" s="11" t="s">
        <v>261</v>
      </c>
      <c r="G22" s="11" t="s">
        <v>262</v>
      </c>
      <c r="H22" s="11" t="s">
        <v>263</v>
      </c>
      <c r="I22" s="11" t="s">
        <v>264</v>
      </c>
    </row>
    <row r="23" ht="30.75" customHeight="1">
      <c r="A23" s="28"/>
      <c r="B23" s="28"/>
      <c r="C23" s="28"/>
      <c r="D23" s="28"/>
      <c r="E23" s="24">
        <v>3.0</v>
      </c>
      <c r="F23" s="11" t="s">
        <v>265</v>
      </c>
      <c r="G23" s="11" t="s">
        <v>266</v>
      </c>
      <c r="H23" s="11" t="s">
        <v>267</v>
      </c>
      <c r="I23" s="11" t="s">
        <v>268</v>
      </c>
    </row>
    <row r="24" ht="43.5" customHeight="1">
      <c r="A24" s="22" t="s">
        <v>269</v>
      </c>
      <c r="B24" s="23" t="s">
        <v>68</v>
      </c>
      <c r="C24" s="23" t="s">
        <v>270</v>
      </c>
      <c r="D24" s="23" t="s">
        <v>271</v>
      </c>
      <c r="E24" s="16">
        <v>1.0</v>
      </c>
      <c r="F24" s="6" t="s">
        <v>272</v>
      </c>
      <c r="G24" s="6" t="s">
        <v>273</v>
      </c>
      <c r="H24" s="6" t="s">
        <v>274</v>
      </c>
      <c r="I24" s="6" t="s">
        <v>275</v>
      </c>
    </row>
    <row r="25" ht="30.75" customHeight="1">
      <c r="A25" s="26"/>
      <c r="B25" s="26"/>
      <c r="C25" s="26"/>
      <c r="D25" s="26"/>
      <c r="E25" s="16">
        <v>2.0</v>
      </c>
      <c r="F25" s="6" t="s">
        <v>276</v>
      </c>
      <c r="G25" s="6" t="s">
        <v>277</v>
      </c>
      <c r="H25" s="6" t="s">
        <v>278</v>
      </c>
      <c r="I25" s="6" t="s">
        <v>279</v>
      </c>
    </row>
    <row r="26" ht="30.75" customHeight="1">
      <c r="A26" s="28"/>
      <c r="B26" s="28"/>
      <c r="C26" s="28"/>
      <c r="D26" s="28"/>
      <c r="E26" s="16">
        <v>3.0</v>
      </c>
      <c r="F26" s="6" t="s">
        <v>280</v>
      </c>
      <c r="G26" s="6" t="s">
        <v>281</v>
      </c>
      <c r="H26" s="6" t="s">
        <v>282</v>
      </c>
      <c r="I26" s="6" t="s">
        <v>283</v>
      </c>
    </row>
    <row r="27" ht="43.5" customHeight="1">
      <c r="A27" s="29" t="s">
        <v>284</v>
      </c>
      <c r="B27" s="30" t="s">
        <v>286</v>
      </c>
      <c r="C27" s="30" t="s">
        <v>289</v>
      </c>
      <c r="D27" s="30" t="s">
        <v>291</v>
      </c>
      <c r="E27" s="24">
        <v>1.0</v>
      </c>
      <c r="F27" s="11" t="s">
        <v>293</v>
      </c>
      <c r="G27" s="11" t="s">
        <v>294</v>
      </c>
      <c r="H27" s="11" t="s">
        <v>295</v>
      </c>
      <c r="I27" s="11" t="s">
        <v>296</v>
      </c>
    </row>
    <row r="28" ht="30.75" customHeight="1">
      <c r="A28" s="26"/>
      <c r="B28" s="26"/>
      <c r="C28" s="26"/>
      <c r="D28" s="26"/>
      <c r="E28" s="24">
        <v>2.0</v>
      </c>
      <c r="F28" s="11" t="s">
        <v>297</v>
      </c>
      <c r="G28" s="11" t="s">
        <v>294</v>
      </c>
      <c r="H28" s="11" t="s">
        <v>298</v>
      </c>
      <c r="I28" s="11" t="s">
        <v>299</v>
      </c>
    </row>
    <row r="29" ht="43.5" customHeight="1">
      <c r="A29" s="28"/>
      <c r="B29" s="28"/>
      <c r="C29" s="28"/>
      <c r="D29" s="28"/>
      <c r="E29" s="24">
        <v>3.0</v>
      </c>
      <c r="F29" s="11" t="s">
        <v>300</v>
      </c>
      <c r="G29" s="11" t="s">
        <v>294</v>
      </c>
      <c r="H29" s="11" t="s">
        <v>301</v>
      </c>
      <c r="I29" s="11" t="s">
        <v>302</v>
      </c>
    </row>
    <row r="30" ht="43.5" customHeight="1">
      <c r="A30" s="22" t="s">
        <v>303</v>
      </c>
      <c r="B30" s="23" t="s">
        <v>286</v>
      </c>
      <c r="C30" s="23" t="s">
        <v>304</v>
      </c>
      <c r="D30" s="23" t="s">
        <v>305</v>
      </c>
      <c r="E30" s="16">
        <v>1.0</v>
      </c>
      <c r="F30" s="6" t="s">
        <v>306</v>
      </c>
      <c r="G30" s="6" t="s">
        <v>307</v>
      </c>
      <c r="H30" s="6" t="s">
        <v>308</v>
      </c>
      <c r="I30" s="6" t="s">
        <v>309</v>
      </c>
    </row>
    <row r="31" ht="30.75" customHeight="1">
      <c r="A31" s="26"/>
      <c r="B31" s="26"/>
      <c r="C31" s="26"/>
      <c r="D31" s="26"/>
      <c r="E31" s="16">
        <v>2.0</v>
      </c>
      <c r="F31" s="6" t="s">
        <v>310</v>
      </c>
      <c r="G31" s="6" t="s">
        <v>307</v>
      </c>
      <c r="H31" s="6" t="s">
        <v>311</v>
      </c>
      <c r="I31" s="6" t="s">
        <v>312</v>
      </c>
    </row>
    <row r="32" ht="30.75" customHeight="1">
      <c r="A32" s="28"/>
      <c r="B32" s="28"/>
      <c r="C32" s="28"/>
      <c r="D32" s="28"/>
      <c r="E32" s="16">
        <v>3.0</v>
      </c>
      <c r="F32" s="6" t="s">
        <v>313</v>
      </c>
      <c r="G32" s="6" t="s">
        <v>314</v>
      </c>
      <c r="H32" s="6" t="s">
        <v>315</v>
      </c>
      <c r="I32" s="6" t="s">
        <v>316</v>
      </c>
    </row>
    <row r="33" ht="43.5" customHeight="1">
      <c r="A33" s="29" t="s">
        <v>317</v>
      </c>
      <c r="B33" s="30" t="s">
        <v>286</v>
      </c>
      <c r="C33" s="36" t="s">
        <v>318</v>
      </c>
      <c r="D33" s="30" t="s">
        <v>320</v>
      </c>
      <c r="E33" s="24">
        <v>1.0</v>
      </c>
      <c r="F33" s="11" t="s">
        <v>322</v>
      </c>
      <c r="G33" s="11" t="s">
        <v>323</v>
      </c>
      <c r="H33" s="11" t="s">
        <v>324</v>
      </c>
      <c r="I33" s="11" t="s">
        <v>325</v>
      </c>
    </row>
    <row r="34" ht="30.75" customHeight="1">
      <c r="A34" s="26"/>
      <c r="B34" s="26"/>
      <c r="C34" s="26"/>
      <c r="D34" s="26"/>
      <c r="E34" s="24">
        <v>2.0</v>
      </c>
      <c r="F34" s="11" t="s">
        <v>331</v>
      </c>
      <c r="G34" s="11" t="s">
        <v>333</v>
      </c>
      <c r="H34" s="11" t="s">
        <v>334</v>
      </c>
      <c r="I34" s="11" t="s">
        <v>336</v>
      </c>
    </row>
    <row r="35" ht="30.75" customHeight="1">
      <c r="A35" s="28"/>
      <c r="B35" s="28"/>
      <c r="C35" s="28"/>
      <c r="D35" s="28"/>
      <c r="E35" s="24">
        <v>3.0</v>
      </c>
      <c r="F35" s="11" t="s">
        <v>340</v>
      </c>
      <c r="G35" s="11" t="s">
        <v>341</v>
      </c>
      <c r="H35" s="11" t="s">
        <v>343</v>
      </c>
      <c r="I35" s="11" t="s">
        <v>344</v>
      </c>
    </row>
    <row r="36" ht="30.75" customHeight="1">
      <c r="A36" s="22" t="s">
        <v>346</v>
      </c>
      <c r="B36" s="23" t="s">
        <v>286</v>
      </c>
      <c r="C36" s="23" t="s">
        <v>348</v>
      </c>
      <c r="D36" s="23" t="s">
        <v>349</v>
      </c>
      <c r="E36" s="16">
        <v>1.0</v>
      </c>
      <c r="F36" s="6" t="s">
        <v>350</v>
      </c>
      <c r="G36" s="6" t="s">
        <v>351</v>
      </c>
      <c r="H36" s="6" t="s">
        <v>352</v>
      </c>
      <c r="I36" s="6" t="s">
        <v>353</v>
      </c>
    </row>
    <row r="37" ht="30.75" customHeight="1">
      <c r="A37" s="26"/>
      <c r="B37" s="26"/>
      <c r="C37" s="26"/>
      <c r="D37" s="26"/>
      <c r="E37" s="16">
        <v>2.0</v>
      </c>
      <c r="F37" s="6" t="s">
        <v>354</v>
      </c>
      <c r="G37" s="6" t="s">
        <v>355</v>
      </c>
      <c r="H37" s="6" t="s">
        <v>356</v>
      </c>
      <c r="I37" s="6" t="s">
        <v>357</v>
      </c>
    </row>
    <row r="38" ht="30.75" customHeight="1">
      <c r="A38" s="28"/>
      <c r="B38" s="28"/>
      <c r="C38" s="28"/>
      <c r="D38" s="28"/>
      <c r="E38" s="16">
        <v>3.0</v>
      </c>
      <c r="F38" s="6" t="s">
        <v>358</v>
      </c>
      <c r="G38" s="6" t="s">
        <v>359</v>
      </c>
      <c r="H38" s="6" t="s">
        <v>360</v>
      </c>
      <c r="I38" s="6" t="s">
        <v>361</v>
      </c>
    </row>
    <row r="39" ht="43.5" customHeight="1">
      <c r="A39" s="29" t="s">
        <v>362</v>
      </c>
      <c r="B39" s="30" t="s">
        <v>68</v>
      </c>
      <c r="C39" s="30" t="s">
        <v>363</v>
      </c>
      <c r="D39" s="30" t="s">
        <v>364</v>
      </c>
      <c r="E39" s="24">
        <v>1.0</v>
      </c>
      <c r="F39" s="11" t="s">
        <v>365</v>
      </c>
      <c r="G39" s="11" t="s">
        <v>366</v>
      </c>
      <c r="H39" s="11" t="s">
        <v>367</v>
      </c>
      <c r="I39" s="11" t="s">
        <v>368</v>
      </c>
    </row>
    <row r="40" ht="43.5" customHeight="1">
      <c r="A40" s="28"/>
      <c r="B40" s="28"/>
      <c r="C40" s="28"/>
      <c r="D40" s="28"/>
      <c r="E40" s="24">
        <v>2.0</v>
      </c>
      <c r="F40" s="11" t="s">
        <v>369</v>
      </c>
      <c r="G40" s="11" t="s">
        <v>370</v>
      </c>
      <c r="H40" s="11" t="s">
        <v>371</v>
      </c>
      <c r="I40" s="11" t="s">
        <v>372</v>
      </c>
    </row>
    <row r="41" ht="30.75" customHeight="1">
      <c r="A41" s="22" t="s">
        <v>373</v>
      </c>
      <c r="B41" s="23" t="s">
        <v>68</v>
      </c>
      <c r="C41" s="23" t="s">
        <v>374</v>
      </c>
      <c r="D41" s="23" t="s">
        <v>378</v>
      </c>
      <c r="E41" s="16">
        <v>1.0</v>
      </c>
      <c r="F41" s="6" t="s">
        <v>380</v>
      </c>
      <c r="G41" s="6" t="s">
        <v>381</v>
      </c>
      <c r="H41" s="6" t="s">
        <v>382</v>
      </c>
      <c r="I41" s="6" t="s">
        <v>383</v>
      </c>
    </row>
    <row r="42" ht="30.75" customHeight="1">
      <c r="A42" s="26"/>
      <c r="B42" s="26"/>
      <c r="C42" s="26"/>
      <c r="D42" s="26"/>
      <c r="E42" s="16">
        <v>2.0</v>
      </c>
      <c r="F42" s="6" t="s">
        <v>384</v>
      </c>
      <c r="G42" s="6" t="s">
        <v>385</v>
      </c>
      <c r="H42" s="6" t="s">
        <v>386</v>
      </c>
      <c r="I42" s="6" t="s">
        <v>387</v>
      </c>
    </row>
    <row r="43" ht="30.75" customHeight="1">
      <c r="A43" s="28"/>
      <c r="B43" s="28"/>
      <c r="C43" s="28"/>
      <c r="D43" s="28"/>
      <c r="E43" s="16">
        <v>3.0</v>
      </c>
      <c r="F43" s="6" t="s">
        <v>388</v>
      </c>
      <c r="G43" s="6" t="s">
        <v>389</v>
      </c>
      <c r="H43" s="6" t="s">
        <v>390</v>
      </c>
      <c r="I43" s="6" t="s">
        <v>391</v>
      </c>
    </row>
    <row r="44" ht="43.5" customHeight="1">
      <c r="A44" s="29" t="s">
        <v>393</v>
      </c>
      <c r="B44" s="30" t="s">
        <v>68</v>
      </c>
      <c r="C44" s="30" t="s">
        <v>396</v>
      </c>
      <c r="D44" s="30" t="s">
        <v>397</v>
      </c>
      <c r="E44" s="24">
        <v>1.0</v>
      </c>
      <c r="F44" s="11" t="s">
        <v>398</v>
      </c>
      <c r="G44" s="11" t="s">
        <v>399</v>
      </c>
      <c r="H44" s="11" t="s">
        <v>400</v>
      </c>
      <c r="I44" s="11" t="s">
        <v>402</v>
      </c>
    </row>
    <row r="45" ht="17.25" customHeight="1">
      <c r="A45" s="28"/>
      <c r="B45" s="28"/>
      <c r="C45" s="28"/>
      <c r="D45" s="28"/>
      <c r="E45" s="24">
        <v>2.0</v>
      </c>
      <c r="F45" s="11" t="s">
        <v>405</v>
      </c>
      <c r="G45" s="11" t="s">
        <v>406</v>
      </c>
      <c r="H45" s="11" t="s">
        <v>407</v>
      </c>
      <c r="I45" s="11" t="s">
        <v>408</v>
      </c>
    </row>
    <row r="46" ht="43.5" customHeight="1">
      <c r="A46" s="22" t="s">
        <v>409</v>
      </c>
      <c r="B46" s="23" t="s">
        <v>68</v>
      </c>
      <c r="C46" s="23" t="s">
        <v>413</v>
      </c>
      <c r="D46" s="23" t="s">
        <v>414</v>
      </c>
      <c r="E46" s="16">
        <v>1.0</v>
      </c>
      <c r="F46" s="6" t="s">
        <v>415</v>
      </c>
      <c r="G46" s="6" t="s">
        <v>416</v>
      </c>
      <c r="H46" s="6" t="s">
        <v>417</v>
      </c>
      <c r="I46" s="6" t="s">
        <v>419</v>
      </c>
    </row>
    <row r="47" ht="30.75" customHeight="1">
      <c r="A47" s="26"/>
      <c r="B47" s="26"/>
      <c r="C47" s="26"/>
      <c r="D47" s="26"/>
      <c r="E47" s="16">
        <v>2.0</v>
      </c>
      <c r="F47" s="6" t="s">
        <v>423</v>
      </c>
      <c r="G47" s="6" t="s">
        <v>424</v>
      </c>
      <c r="H47" s="6" t="s">
        <v>417</v>
      </c>
      <c r="I47" s="6" t="s">
        <v>425</v>
      </c>
    </row>
    <row r="48" ht="30.75" customHeight="1">
      <c r="A48" s="28"/>
      <c r="B48" s="28"/>
      <c r="C48" s="28"/>
      <c r="D48" s="28"/>
      <c r="E48" s="16">
        <v>3.0</v>
      </c>
      <c r="F48" s="6" t="s">
        <v>426</v>
      </c>
      <c r="G48" s="6" t="s">
        <v>427</v>
      </c>
      <c r="H48" s="6" t="s">
        <v>428</v>
      </c>
      <c r="I48" s="6" t="s">
        <v>430</v>
      </c>
    </row>
    <row r="49" ht="30.75" customHeight="1">
      <c r="A49" s="29" t="s">
        <v>432</v>
      </c>
      <c r="B49" s="30" t="s">
        <v>68</v>
      </c>
      <c r="C49" s="30" t="s">
        <v>433</v>
      </c>
      <c r="D49" s="30" t="s">
        <v>435</v>
      </c>
      <c r="E49" s="24">
        <v>1.0</v>
      </c>
      <c r="F49" s="11" t="s">
        <v>437</v>
      </c>
      <c r="G49" s="11" t="s">
        <v>438</v>
      </c>
      <c r="H49" s="11" t="s">
        <v>439</v>
      </c>
      <c r="I49" s="11" t="s">
        <v>440</v>
      </c>
    </row>
    <row r="50" ht="30.75" customHeight="1">
      <c r="A50" s="26"/>
      <c r="B50" s="26"/>
      <c r="C50" s="26"/>
      <c r="D50" s="26"/>
      <c r="E50" s="24">
        <v>2.0</v>
      </c>
      <c r="F50" s="11" t="s">
        <v>444</v>
      </c>
      <c r="G50" s="11" t="s">
        <v>445</v>
      </c>
      <c r="H50" s="11" t="s">
        <v>446</v>
      </c>
      <c r="I50" s="11" t="s">
        <v>447</v>
      </c>
    </row>
    <row r="51" ht="30.75" customHeight="1">
      <c r="A51" s="28"/>
      <c r="B51" s="28"/>
      <c r="C51" s="28"/>
      <c r="D51" s="28"/>
      <c r="E51" s="24">
        <v>3.0</v>
      </c>
      <c r="F51" s="11" t="s">
        <v>449</v>
      </c>
      <c r="G51" s="11" t="s">
        <v>450</v>
      </c>
      <c r="H51" s="11" t="s">
        <v>451</v>
      </c>
      <c r="I51" s="11" t="s">
        <v>453</v>
      </c>
    </row>
    <row r="52" ht="43.5" customHeight="1">
      <c r="A52" s="22" t="s">
        <v>455</v>
      </c>
      <c r="B52" s="23" t="s">
        <v>456</v>
      </c>
      <c r="C52" s="23" t="s">
        <v>457</v>
      </c>
      <c r="D52" s="23" t="s">
        <v>458</v>
      </c>
      <c r="E52" s="16">
        <v>1.0</v>
      </c>
      <c r="F52" s="6" t="s">
        <v>462</v>
      </c>
      <c r="G52" s="6" t="s">
        <v>463</v>
      </c>
      <c r="H52" s="6" t="s">
        <v>464</v>
      </c>
      <c r="I52" s="6" t="s">
        <v>465</v>
      </c>
    </row>
    <row r="53" ht="30.75" customHeight="1">
      <c r="A53" s="28"/>
      <c r="B53" s="28"/>
      <c r="C53" s="28"/>
      <c r="D53" s="28"/>
      <c r="E53" s="16">
        <v>2.0</v>
      </c>
      <c r="F53" s="6" t="s">
        <v>467</v>
      </c>
      <c r="G53" s="6" t="s">
        <v>463</v>
      </c>
      <c r="H53" s="6" t="s">
        <v>468</v>
      </c>
      <c r="I53" s="6" t="s">
        <v>469</v>
      </c>
    </row>
    <row r="54" ht="30.75" customHeight="1">
      <c r="A54" s="29" t="s">
        <v>471</v>
      </c>
      <c r="B54" s="30" t="s">
        <v>286</v>
      </c>
      <c r="C54" s="30" t="s">
        <v>474</v>
      </c>
      <c r="D54" s="30" t="s">
        <v>476</v>
      </c>
      <c r="E54" s="24">
        <v>1.0</v>
      </c>
      <c r="F54" s="11" t="s">
        <v>480</v>
      </c>
      <c r="G54" s="11" t="s">
        <v>481</v>
      </c>
      <c r="H54" s="11" t="s">
        <v>482</v>
      </c>
      <c r="I54" s="11" t="s">
        <v>483</v>
      </c>
    </row>
    <row r="55" ht="30.75" customHeight="1">
      <c r="A55" s="26"/>
      <c r="B55" s="26"/>
      <c r="C55" s="26"/>
      <c r="D55" s="26"/>
      <c r="E55" s="24">
        <v>2.0</v>
      </c>
      <c r="F55" s="11" t="s">
        <v>484</v>
      </c>
      <c r="G55" s="11" t="s">
        <v>486</v>
      </c>
      <c r="H55" s="11" t="s">
        <v>487</v>
      </c>
      <c r="I55" s="11" t="s">
        <v>488</v>
      </c>
    </row>
    <row r="56" ht="30.75" customHeight="1">
      <c r="A56" s="28"/>
      <c r="B56" s="28"/>
      <c r="C56" s="28"/>
      <c r="D56" s="28"/>
      <c r="E56" s="24">
        <v>3.0</v>
      </c>
      <c r="F56" s="11" t="s">
        <v>492</v>
      </c>
      <c r="G56" s="11" t="s">
        <v>493</v>
      </c>
      <c r="H56" s="11" t="s">
        <v>494</v>
      </c>
      <c r="I56" s="11" t="s">
        <v>495</v>
      </c>
    </row>
    <row r="57" ht="30.75" customHeight="1">
      <c r="A57" s="22" t="s">
        <v>496</v>
      </c>
      <c r="B57" s="23" t="s">
        <v>497</v>
      </c>
      <c r="C57" s="23" t="s">
        <v>498</v>
      </c>
      <c r="D57" s="23" t="s">
        <v>500</v>
      </c>
      <c r="E57" s="16">
        <v>1.0</v>
      </c>
      <c r="F57" s="6" t="s">
        <v>503</v>
      </c>
      <c r="G57" s="6" t="s">
        <v>504</v>
      </c>
      <c r="H57" s="6" t="s">
        <v>505</v>
      </c>
      <c r="I57" s="6" t="s">
        <v>506</v>
      </c>
    </row>
    <row r="58" ht="43.5" customHeight="1">
      <c r="A58" s="28"/>
      <c r="B58" s="28"/>
      <c r="C58" s="28"/>
      <c r="D58" s="28"/>
      <c r="E58" s="16">
        <v>2.0</v>
      </c>
      <c r="F58" s="6" t="s">
        <v>507</v>
      </c>
      <c r="G58" s="6" t="s">
        <v>508</v>
      </c>
      <c r="H58" s="6" t="s">
        <v>509</v>
      </c>
      <c r="I58" s="6" t="s">
        <v>510</v>
      </c>
    </row>
    <row r="59" ht="30.75" customHeight="1">
      <c r="A59" s="29" t="s">
        <v>511</v>
      </c>
      <c r="B59" s="30" t="s">
        <v>200</v>
      </c>
      <c r="C59" s="30" t="s">
        <v>515</v>
      </c>
      <c r="D59" s="30" t="s">
        <v>516</v>
      </c>
      <c r="E59" s="24">
        <v>1.0</v>
      </c>
      <c r="F59" s="11" t="s">
        <v>517</v>
      </c>
      <c r="G59" s="11" t="s">
        <v>518</v>
      </c>
      <c r="H59" s="11" t="s">
        <v>519</v>
      </c>
      <c r="I59" s="11" t="s">
        <v>520</v>
      </c>
    </row>
    <row r="60" ht="30.75" customHeight="1">
      <c r="A60" s="28"/>
      <c r="B60" s="28"/>
      <c r="C60" s="28"/>
      <c r="D60" s="28"/>
      <c r="E60" s="24">
        <v>2.0</v>
      </c>
      <c r="F60" s="11" t="s">
        <v>524</v>
      </c>
      <c r="G60" s="11" t="s">
        <v>525</v>
      </c>
      <c r="H60" s="11" t="s">
        <v>526</v>
      </c>
      <c r="I60" s="11" t="s">
        <v>527</v>
      </c>
    </row>
    <row r="61" ht="43.5" customHeight="1">
      <c r="A61" s="22" t="s">
        <v>529</v>
      </c>
      <c r="B61" s="23" t="s">
        <v>531</v>
      </c>
      <c r="C61" s="23" t="s">
        <v>534</v>
      </c>
      <c r="D61" s="23" t="s">
        <v>537</v>
      </c>
      <c r="E61" s="16">
        <v>1.0</v>
      </c>
      <c r="F61" s="6" t="s">
        <v>540</v>
      </c>
      <c r="G61" s="6" t="s">
        <v>542</v>
      </c>
      <c r="H61" s="6" t="s">
        <v>543</v>
      </c>
      <c r="I61" s="6" t="s">
        <v>545</v>
      </c>
    </row>
    <row r="62" ht="30.75" customHeight="1">
      <c r="A62" s="28"/>
      <c r="B62" s="28"/>
      <c r="C62" s="28"/>
      <c r="D62" s="28"/>
      <c r="E62" s="16">
        <v>2.0</v>
      </c>
      <c r="F62" s="6" t="s">
        <v>550</v>
      </c>
      <c r="G62" s="6" t="s">
        <v>551</v>
      </c>
      <c r="H62" s="6" t="s">
        <v>553</v>
      </c>
      <c r="I62" s="6" t="s">
        <v>556</v>
      </c>
    </row>
    <row r="63" ht="30.75" customHeight="1">
      <c r="A63" s="29" t="s">
        <v>558</v>
      </c>
      <c r="B63" s="30" t="s">
        <v>286</v>
      </c>
      <c r="C63" s="30" t="s">
        <v>570</v>
      </c>
      <c r="D63" s="30" t="s">
        <v>571</v>
      </c>
      <c r="E63" s="24">
        <v>1.0</v>
      </c>
      <c r="F63" s="11" t="s">
        <v>576</v>
      </c>
      <c r="G63" s="11" t="s">
        <v>577</v>
      </c>
      <c r="H63" s="11" t="s">
        <v>581</v>
      </c>
      <c r="I63" s="11" t="s">
        <v>582</v>
      </c>
    </row>
    <row r="64" ht="30.75" customHeight="1">
      <c r="A64" s="26"/>
      <c r="B64" s="26"/>
      <c r="C64" s="26"/>
      <c r="D64" s="26"/>
      <c r="E64" s="24">
        <v>2.0</v>
      </c>
      <c r="F64" s="11" t="s">
        <v>583</v>
      </c>
      <c r="G64" s="11" t="s">
        <v>584</v>
      </c>
      <c r="H64" s="11" t="s">
        <v>585</v>
      </c>
      <c r="I64" s="11" t="s">
        <v>586</v>
      </c>
    </row>
    <row r="65" ht="30.75" customHeight="1">
      <c r="A65" s="28"/>
      <c r="B65" s="28"/>
      <c r="C65" s="28"/>
      <c r="D65" s="28"/>
      <c r="E65" s="24">
        <v>3.0</v>
      </c>
      <c r="F65" s="11" t="s">
        <v>590</v>
      </c>
      <c r="G65" s="11" t="s">
        <v>591</v>
      </c>
      <c r="H65" s="11" t="s">
        <v>592</v>
      </c>
      <c r="I65" s="11" t="s">
        <v>593</v>
      </c>
    </row>
    <row r="66" ht="43.5" customHeight="1">
      <c r="A66" s="22" t="s">
        <v>595</v>
      </c>
      <c r="B66" s="23" t="s">
        <v>286</v>
      </c>
      <c r="C66" s="23" t="s">
        <v>601</v>
      </c>
      <c r="D66" s="23" t="s">
        <v>602</v>
      </c>
      <c r="E66" s="16">
        <v>1.0</v>
      </c>
      <c r="F66" s="6" t="s">
        <v>603</v>
      </c>
      <c r="G66" s="6" t="s">
        <v>604</v>
      </c>
      <c r="H66" s="6" t="s">
        <v>605</v>
      </c>
      <c r="I66" s="6" t="s">
        <v>607</v>
      </c>
    </row>
    <row r="67" ht="43.5" customHeight="1">
      <c r="A67" s="26"/>
      <c r="B67" s="26"/>
      <c r="C67" s="26"/>
      <c r="D67" s="26"/>
      <c r="E67" s="16">
        <v>2.0</v>
      </c>
      <c r="F67" s="6" t="s">
        <v>608</v>
      </c>
      <c r="G67" s="6" t="s">
        <v>609</v>
      </c>
      <c r="H67" s="6" t="s">
        <v>610</v>
      </c>
      <c r="I67" s="6" t="s">
        <v>611</v>
      </c>
    </row>
    <row r="68" ht="30.75" customHeight="1">
      <c r="A68" s="28"/>
      <c r="B68" s="28"/>
      <c r="C68" s="28"/>
      <c r="D68" s="28"/>
      <c r="E68" s="16">
        <v>3.0</v>
      </c>
      <c r="F68" s="6" t="s">
        <v>612</v>
      </c>
      <c r="G68" s="6" t="s">
        <v>294</v>
      </c>
      <c r="H68" s="6" t="s">
        <v>613</v>
      </c>
      <c r="I68" s="6" t="s">
        <v>614</v>
      </c>
    </row>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4">
    <mergeCell ref="A24:A26"/>
    <mergeCell ref="B24:B26"/>
    <mergeCell ref="C24:C26"/>
    <mergeCell ref="D24:D26"/>
    <mergeCell ref="B27:B29"/>
    <mergeCell ref="C27:C29"/>
    <mergeCell ref="D27:D29"/>
    <mergeCell ref="A27:A29"/>
    <mergeCell ref="A30:A32"/>
    <mergeCell ref="B30:B32"/>
    <mergeCell ref="C30:C32"/>
    <mergeCell ref="D30:D32"/>
    <mergeCell ref="A33:A35"/>
    <mergeCell ref="B33:B35"/>
    <mergeCell ref="A4:D4"/>
    <mergeCell ref="E4:I4"/>
    <mergeCell ref="A6:A8"/>
    <mergeCell ref="B6:B8"/>
    <mergeCell ref="C6:C8"/>
    <mergeCell ref="D6:D8"/>
    <mergeCell ref="A9:A11"/>
    <mergeCell ref="D9:D11"/>
    <mergeCell ref="B15:B17"/>
    <mergeCell ref="C15:C17"/>
    <mergeCell ref="B9:B11"/>
    <mergeCell ref="C9:C11"/>
    <mergeCell ref="A12:A14"/>
    <mergeCell ref="B12:B14"/>
    <mergeCell ref="C12:C14"/>
    <mergeCell ref="D12:D14"/>
    <mergeCell ref="D15:D17"/>
    <mergeCell ref="C21:C23"/>
    <mergeCell ref="D21:D23"/>
    <mergeCell ref="A15:A17"/>
    <mergeCell ref="A18:A20"/>
    <mergeCell ref="B18:B20"/>
    <mergeCell ref="C18:C20"/>
    <mergeCell ref="D18:D20"/>
    <mergeCell ref="A21:A23"/>
    <mergeCell ref="B21:B23"/>
    <mergeCell ref="C33:C35"/>
    <mergeCell ref="D33:D35"/>
    <mergeCell ref="C44:C45"/>
    <mergeCell ref="D44:D45"/>
    <mergeCell ref="A57:A58"/>
    <mergeCell ref="B57:B58"/>
    <mergeCell ref="C57:C58"/>
    <mergeCell ref="D57:D58"/>
    <mergeCell ref="B59:B60"/>
    <mergeCell ref="C59:C60"/>
    <mergeCell ref="D59:D60"/>
    <mergeCell ref="A59:A60"/>
    <mergeCell ref="A61:A62"/>
    <mergeCell ref="B61:B62"/>
    <mergeCell ref="C61:C62"/>
    <mergeCell ref="D61:D62"/>
    <mergeCell ref="A63:A65"/>
    <mergeCell ref="B63:B65"/>
    <mergeCell ref="A36:A38"/>
    <mergeCell ref="B36:B38"/>
    <mergeCell ref="C36:C38"/>
    <mergeCell ref="D36:D38"/>
    <mergeCell ref="B39:B40"/>
    <mergeCell ref="C39:C40"/>
    <mergeCell ref="D39:D40"/>
    <mergeCell ref="A39:A40"/>
    <mergeCell ref="A41:A43"/>
    <mergeCell ref="B41:B43"/>
    <mergeCell ref="C41:C43"/>
    <mergeCell ref="D41:D43"/>
    <mergeCell ref="A44:A45"/>
    <mergeCell ref="B44:B45"/>
    <mergeCell ref="A46:A48"/>
    <mergeCell ref="B46:B48"/>
    <mergeCell ref="C46:C48"/>
    <mergeCell ref="D46:D48"/>
    <mergeCell ref="B49:B51"/>
    <mergeCell ref="C49:C51"/>
    <mergeCell ref="D49:D51"/>
    <mergeCell ref="C54:C56"/>
    <mergeCell ref="D54:D56"/>
    <mergeCell ref="A49:A51"/>
    <mergeCell ref="A52:A53"/>
    <mergeCell ref="B52:B53"/>
    <mergeCell ref="C52:C53"/>
    <mergeCell ref="D52:D53"/>
    <mergeCell ref="A54:A56"/>
    <mergeCell ref="B54:B56"/>
    <mergeCell ref="C63:C65"/>
    <mergeCell ref="D63:D65"/>
    <mergeCell ref="A66:A68"/>
    <mergeCell ref="B66:B68"/>
    <mergeCell ref="C66:C68"/>
    <mergeCell ref="D66:D68"/>
  </mergeCells>
  <hyperlinks>
    <hyperlink r:id="rId1" ref="C33"/>
  </hyperlinks>
  <printOptions/>
  <pageMargins bottom="0.5" footer="0.0" header="0.0" left="0.4" right="0.4" top="0.5"/>
  <pageSetup fitToHeight="0" orientation="landscape"/>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7.0"/>
    <col customWidth="1" min="2" max="3" width="8.0"/>
    <col customWidth="1" min="4" max="4" width="56.0"/>
    <col customWidth="1" min="5" max="5" width="16.29"/>
    <col customWidth="1" min="6" max="6" width="7.0"/>
    <col customWidth="1" min="7" max="8" width="9.0"/>
    <col customWidth="1" min="9" max="9" width="10.0"/>
    <col customWidth="1" min="10" max="10" width="8.43"/>
    <col customWidth="1" min="11" max="12" width="10.0"/>
    <col customWidth="1" min="13" max="13" width="11.14"/>
    <col customWidth="1" min="14" max="14" width="16.57"/>
  </cols>
  <sheetData>
    <row r="1" ht="18.0" customHeight="1">
      <c r="A1" s="1" t="s">
        <v>319</v>
      </c>
    </row>
    <row r="2">
      <c r="A2" s="2"/>
    </row>
    <row r="4" ht="44.25" customHeight="1">
      <c r="A4" s="3" t="s">
        <v>321</v>
      </c>
      <c r="B4" s="3" t="s">
        <v>7</v>
      </c>
      <c r="C4" s="3" t="s">
        <v>10</v>
      </c>
      <c r="D4" s="3" t="s">
        <v>326</v>
      </c>
      <c r="E4" s="3" t="s">
        <v>327</v>
      </c>
      <c r="F4" s="3" t="s">
        <v>328</v>
      </c>
      <c r="G4" s="3" t="s">
        <v>329</v>
      </c>
      <c r="H4" s="3" t="s">
        <v>330</v>
      </c>
      <c r="I4" s="3" t="s">
        <v>332</v>
      </c>
      <c r="J4" s="3" t="s">
        <v>20</v>
      </c>
      <c r="K4" s="3" t="s">
        <v>335</v>
      </c>
      <c r="L4" s="3" t="s">
        <v>337</v>
      </c>
      <c r="M4" s="3" t="s">
        <v>338</v>
      </c>
      <c r="N4" s="3" t="s">
        <v>339</v>
      </c>
    </row>
    <row r="5" ht="43.5" customHeight="1">
      <c r="A5" s="16">
        <v>1.0</v>
      </c>
      <c r="B5" s="5" t="s">
        <v>342</v>
      </c>
      <c r="C5" s="16" t="s">
        <v>21</v>
      </c>
      <c r="D5" s="6" t="s">
        <v>345</v>
      </c>
      <c r="E5" s="6" t="s">
        <v>347</v>
      </c>
      <c r="F5" s="16">
        <v>5.0</v>
      </c>
      <c r="G5" s="16">
        <v>5.0</v>
      </c>
      <c r="H5" s="16">
        <f t="shared" ref="H5:H27" si="1">F5*G5</f>
        <v>25</v>
      </c>
      <c r="I5" s="16" t="str">
        <f t="shared" ref="I5:I27" si="2">IF(H5&gt;=16,"Alta",IF(H5&gt;=9,"Media","Baja"))</f>
        <v>Alta</v>
      </c>
      <c r="J5" s="4">
        <v>5.0</v>
      </c>
      <c r="K5" s="16">
        <v>3.0</v>
      </c>
      <c r="L5" s="37">
        <v>4.0</v>
      </c>
      <c r="M5" s="16" t="str">
        <f t="shared" ref="M5:M27" si="3">IF(L5&lt;=5,"R1",IF(L5&lt;=7,"R2","R3"))</f>
        <v>R1</v>
      </c>
      <c r="N5" s="16" t="s">
        <v>375</v>
      </c>
    </row>
    <row r="6" ht="30.75" customHeight="1">
      <c r="A6" s="24">
        <v>2.0</v>
      </c>
      <c r="B6" s="10" t="s">
        <v>376</v>
      </c>
      <c r="C6" s="24" t="s">
        <v>56</v>
      </c>
      <c r="D6" s="11" t="s">
        <v>377</v>
      </c>
      <c r="E6" s="11" t="s">
        <v>379</v>
      </c>
      <c r="F6" s="24">
        <v>5.0</v>
      </c>
      <c r="G6" s="24">
        <v>5.0</v>
      </c>
      <c r="H6" s="24">
        <f t="shared" si="1"/>
        <v>25</v>
      </c>
      <c r="I6" s="24" t="str">
        <f t="shared" si="2"/>
        <v>Alta</v>
      </c>
      <c r="J6" s="9">
        <v>5.0</v>
      </c>
      <c r="K6" s="24">
        <v>3.0</v>
      </c>
      <c r="L6" s="38">
        <v>5.0</v>
      </c>
      <c r="M6" s="24" t="str">
        <f t="shared" si="3"/>
        <v>R1</v>
      </c>
      <c r="N6" s="24" t="s">
        <v>375</v>
      </c>
    </row>
    <row r="7" ht="43.5" customHeight="1">
      <c r="A7" s="16">
        <v>3.0</v>
      </c>
      <c r="B7" s="5" t="s">
        <v>392</v>
      </c>
      <c r="C7" s="16" t="s">
        <v>86</v>
      </c>
      <c r="D7" s="6" t="s">
        <v>394</v>
      </c>
      <c r="E7" s="6" t="s">
        <v>395</v>
      </c>
      <c r="F7" s="16">
        <v>5.0</v>
      </c>
      <c r="G7" s="16">
        <v>5.0</v>
      </c>
      <c r="H7" s="16">
        <f t="shared" si="1"/>
        <v>25</v>
      </c>
      <c r="I7" s="16" t="str">
        <f t="shared" si="2"/>
        <v>Alta</v>
      </c>
      <c r="J7" s="4">
        <v>8.0</v>
      </c>
      <c r="K7" s="16">
        <v>3.0</v>
      </c>
      <c r="L7" s="37">
        <v>4.0</v>
      </c>
      <c r="M7" s="16" t="str">
        <f t="shared" si="3"/>
        <v>R1</v>
      </c>
      <c r="N7" s="16" t="s">
        <v>375</v>
      </c>
    </row>
    <row r="8" ht="30.75" customHeight="1">
      <c r="A8" s="24">
        <v>4.0</v>
      </c>
      <c r="B8" s="10" t="s">
        <v>401</v>
      </c>
      <c r="C8" s="24" t="s">
        <v>127</v>
      </c>
      <c r="D8" s="11" t="s">
        <v>403</v>
      </c>
      <c r="E8" s="11" t="s">
        <v>404</v>
      </c>
      <c r="F8" s="24">
        <v>4.0</v>
      </c>
      <c r="G8" s="24">
        <v>3.0</v>
      </c>
      <c r="H8" s="24">
        <f t="shared" si="1"/>
        <v>12</v>
      </c>
      <c r="I8" s="24" t="str">
        <f t="shared" si="2"/>
        <v>Media</v>
      </c>
      <c r="J8" s="9">
        <v>3.0</v>
      </c>
      <c r="K8" s="24">
        <v>4.0</v>
      </c>
      <c r="L8" s="38">
        <v>5.0</v>
      </c>
      <c r="M8" s="24" t="str">
        <f t="shared" si="3"/>
        <v>R1</v>
      </c>
      <c r="N8" s="24" t="s">
        <v>375</v>
      </c>
    </row>
    <row r="9" ht="37.5" customHeight="1">
      <c r="A9" s="16">
        <v>5.0</v>
      </c>
      <c r="B9" s="5" t="s">
        <v>410</v>
      </c>
      <c r="C9" s="16" t="s">
        <v>246</v>
      </c>
      <c r="D9" s="6" t="s">
        <v>411</v>
      </c>
      <c r="E9" s="6" t="s">
        <v>412</v>
      </c>
      <c r="F9" s="16">
        <v>4.0</v>
      </c>
      <c r="G9" s="16">
        <v>5.0</v>
      </c>
      <c r="H9" s="16">
        <f t="shared" si="1"/>
        <v>20</v>
      </c>
      <c r="I9" s="16" t="str">
        <f t="shared" si="2"/>
        <v>Alta</v>
      </c>
      <c r="J9" s="4">
        <v>3.0</v>
      </c>
      <c r="K9" s="16">
        <v>4.0</v>
      </c>
      <c r="L9" s="37">
        <v>6.0</v>
      </c>
      <c r="M9" s="16" t="str">
        <f t="shared" si="3"/>
        <v>R2</v>
      </c>
      <c r="N9" s="16" t="s">
        <v>418</v>
      </c>
    </row>
    <row r="10" ht="30.75" customHeight="1">
      <c r="A10" s="24">
        <v>6.0</v>
      </c>
      <c r="B10" s="10" t="s">
        <v>420</v>
      </c>
      <c r="C10" s="24" t="s">
        <v>86</v>
      </c>
      <c r="D10" s="11" t="s">
        <v>421</v>
      </c>
      <c r="E10" s="11" t="s">
        <v>422</v>
      </c>
      <c r="F10" s="24">
        <v>5.0</v>
      </c>
      <c r="G10" s="24">
        <v>4.0</v>
      </c>
      <c r="H10" s="24">
        <f t="shared" si="1"/>
        <v>20</v>
      </c>
      <c r="I10" s="24" t="str">
        <f t="shared" si="2"/>
        <v>Alta</v>
      </c>
      <c r="J10" s="9">
        <v>5.0</v>
      </c>
      <c r="K10" s="24">
        <v>4.0</v>
      </c>
      <c r="L10" s="38">
        <v>4.0</v>
      </c>
      <c r="M10" s="24" t="str">
        <f t="shared" si="3"/>
        <v>R1</v>
      </c>
      <c r="N10" s="24" t="s">
        <v>375</v>
      </c>
    </row>
    <row r="11" ht="30.75" customHeight="1">
      <c r="A11" s="16">
        <v>7.0</v>
      </c>
      <c r="B11" s="5" t="s">
        <v>429</v>
      </c>
      <c r="C11" s="16" t="s">
        <v>56</v>
      </c>
      <c r="D11" s="6" t="s">
        <v>431</v>
      </c>
      <c r="E11" s="6" t="s">
        <v>190</v>
      </c>
      <c r="F11" s="16">
        <v>4.0</v>
      </c>
      <c r="G11" s="16">
        <v>4.0</v>
      </c>
      <c r="H11" s="16">
        <f t="shared" si="1"/>
        <v>16</v>
      </c>
      <c r="I11" s="16" t="str">
        <f t="shared" si="2"/>
        <v>Alta</v>
      </c>
      <c r="J11" s="4">
        <v>5.0</v>
      </c>
      <c r="K11" s="16">
        <v>4.0</v>
      </c>
      <c r="L11" s="37">
        <v>5.0</v>
      </c>
      <c r="M11" s="16" t="str">
        <f t="shared" si="3"/>
        <v>R1</v>
      </c>
      <c r="N11" s="16" t="s">
        <v>375</v>
      </c>
    </row>
    <row r="12" ht="43.5" customHeight="1">
      <c r="A12" s="24">
        <v>8.0</v>
      </c>
      <c r="B12" s="10" t="s">
        <v>434</v>
      </c>
      <c r="C12" s="24" t="s">
        <v>210</v>
      </c>
      <c r="D12" s="11" t="s">
        <v>436</v>
      </c>
      <c r="E12" s="11" t="s">
        <v>170</v>
      </c>
      <c r="F12" s="24">
        <v>3.0</v>
      </c>
      <c r="G12" s="24">
        <v>4.0</v>
      </c>
      <c r="H12" s="24">
        <f t="shared" si="1"/>
        <v>12</v>
      </c>
      <c r="I12" s="24" t="str">
        <f t="shared" si="2"/>
        <v>Media</v>
      </c>
      <c r="J12" s="9">
        <v>3.0</v>
      </c>
      <c r="K12" s="24">
        <v>4.0</v>
      </c>
      <c r="L12" s="38">
        <v>4.0</v>
      </c>
      <c r="M12" s="24" t="str">
        <f t="shared" si="3"/>
        <v>R1</v>
      </c>
      <c r="N12" s="24" t="s">
        <v>375</v>
      </c>
    </row>
    <row r="13" ht="43.5" customHeight="1">
      <c r="A13" s="16">
        <v>9.0</v>
      </c>
      <c r="B13" s="5" t="s">
        <v>441</v>
      </c>
      <c r="C13" s="16" t="s">
        <v>210</v>
      </c>
      <c r="D13" s="6" t="s">
        <v>442</v>
      </c>
      <c r="E13" s="6" t="s">
        <v>443</v>
      </c>
      <c r="F13" s="16">
        <v>3.0</v>
      </c>
      <c r="G13" s="16">
        <v>3.0</v>
      </c>
      <c r="H13" s="16">
        <f t="shared" si="1"/>
        <v>9</v>
      </c>
      <c r="I13" s="16" t="str">
        <f t="shared" si="2"/>
        <v>Media</v>
      </c>
      <c r="J13" s="4">
        <v>5.0</v>
      </c>
      <c r="K13" s="16" t="s">
        <v>448</v>
      </c>
      <c r="L13" s="37">
        <v>4.0</v>
      </c>
      <c r="M13" s="16" t="str">
        <f t="shared" si="3"/>
        <v>R1</v>
      </c>
      <c r="N13" s="16" t="s">
        <v>375</v>
      </c>
    </row>
    <row r="14" ht="42.75" customHeight="1">
      <c r="A14" s="24">
        <v>10.0</v>
      </c>
      <c r="B14" s="10" t="s">
        <v>452</v>
      </c>
      <c r="C14" s="24" t="s">
        <v>166</v>
      </c>
      <c r="D14" s="11" t="s">
        <v>454</v>
      </c>
      <c r="E14" s="11" t="s">
        <v>170</v>
      </c>
      <c r="F14" s="24">
        <v>5.0</v>
      </c>
      <c r="G14" s="24">
        <v>4.0</v>
      </c>
      <c r="H14" s="24">
        <f t="shared" si="1"/>
        <v>20</v>
      </c>
      <c r="I14" s="24" t="str">
        <f t="shared" si="2"/>
        <v>Alta</v>
      </c>
      <c r="J14" s="9">
        <v>13.0</v>
      </c>
      <c r="K14" s="24">
        <v>5.0</v>
      </c>
      <c r="L14" s="38">
        <v>4.0</v>
      </c>
      <c r="M14" s="24" t="str">
        <f t="shared" si="3"/>
        <v>R1</v>
      </c>
      <c r="N14" s="24" t="s">
        <v>375</v>
      </c>
    </row>
    <row r="15" ht="30.75" customHeight="1">
      <c r="A15" s="16">
        <v>11.0</v>
      </c>
      <c r="B15" s="5" t="s">
        <v>459</v>
      </c>
      <c r="C15" s="16" t="s">
        <v>21</v>
      </c>
      <c r="D15" s="6" t="s">
        <v>460</v>
      </c>
      <c r="E15" s="6" t="s">
        <v>461</v>
      </c>
      <c r="F15" s="16">
        <v>4.0</v>
      </c>
      <c r="G15" s="16">
        <v>4.0</v>
      </c>
      <c r="H15" s="16">
        <f t="shared" si="1"/>
        <v>16</v>
      </c>
      <c r="I15" s="16" t="str">
        <f t="shared" si="2"/>
        <v>Alta</v>
      </c>
      <c r="J15" s="4">
        <v>5.0</v>
      </c>
      <c r="K15" s="16">
        <v>5.0</v>
      </c>
      <c r="L15" s="37" t="s">
        <v>466</v>
      </c>
      <c r="M15" s="16" t="str">
        <f t="shared" si="3"/>
        <v>R3</v>
      </c>
      <c r="N15" s="16" t="s">
        <v>418</v>
      </c>
    </row>
    <row r="16" ht="30.75" customHeight="1">
      <c r="A16" s="24">
        <v>12.0</v>
      </c>
      <c r="B16" s="10" t="s">
        <v>470</v>
      </c>
      <c r="C16" s="24" t="s">
        <v>21</v>
      </c>
      <c r="D16" s="11" t="s">
        <v>472</v>
      </c>
      <c r="E16" s="11" t="s">
        <v>473</v>
      </c>
      <c r="F16" s="24">
        <v>3.0</v>
      </c>
      <c r="G16" s="24">
        <v>3.0</v>
      </c>
      <c r="H16" s="24">
        <f t="shared" si="1"/>
        <v>9</v>
      </c>
      <c r="I16" s="24" t="str">
        <f t="shared" si="2"/>
        <v>Media</v>
      </c>
      <c r="J16" s="9">
        <v>3.0</v>
      </c>
      <c r="K16" s="24">
        <v>5.0</v>
      </c>
      <c r="L16" s="38">
        <v>5.0</v>
      </c>
      <c r="M16" s="24" t="str">
        <f t="shared" si="3"/>
        <v>R1</v>
      </c>
      <c r="N16" s="24" t="s">
        <v>475</v>
      </c>
    </row>
    <row r="17" ht="30.75" customHeight="1">
      <c r="A17" s="16">
        <v>13.0</v>
      </c>
      <c r="B17" s="5" t="s">
        <v>477</v>
      </c>
      <c r="C17" s="16" t="s">
        <v>86</v>
      </c>
      <c r="D17" s="6" t="s">
        <v>478</v>
      </c>
      <c r="E17" s="6" t="s">
        <v>479</v>
      </c>
      <c r="F17" s="16">
        <v>4.0</v>
      </c>
      <c r="G17" s="16">
        <v>3.0</v>
      </c>
      <c r="H17" s="16">
        <f t="shared" si="1"/>
        <v>12</v>
      </c>
      <c r="I17" s="16" t="str">
        <f t="shared" si="2"/>
        <v>Media</v>
      </c>
      <c r="J17" s="4">
        <v>8.0</v>
      </c>
      <c r="K17" s="16">
        <v>6.0</v>
      </c>
      <c r="L17" s="37" t="s">
        <v>466</v>
      </c>
      <c r="M17" s="16" t="str">
        <f t="shared" si="3"/>
        <v>R3</v>
      </c>
      <c r="N17" s="16" t="s">
        <v>485</v>
      </c>
    </row>
    <row r="18" ht="43.5" customHeight="1">
      <c r="A18" s="24">
        <v>14.0</v>
      </c>
      <c r="B18" s="10" t="s">
        <v>489</v>
      </c>
      <c r="C18" s="24" t="s">
        <v>127</v>
      </c>
      <c r="D18" s="11" t="s">
        <v>490</v>
      </c>
      <c r="E18" s="11" t="s">
        <v>491</v>
      </c>
      <c r="F18" s="24">
        <v>4.0</v>
      </c>
      <c r="G18" s="24">
        <v>3.0</v>
      </c>
      <c r="H18" s="24">
        <f t="shared" si="1"/>
        <v>12</v>
      </c>
      <c r="I18" s="24" t="str">
        <f t="shared" si="2"/>
        <v>Media</v>
      </c>
      <c r="J18" s="9">
        <v>8.0</v>
      </c>
      <c r="K18" s="24">
        <v>6.0</v>
      </c>
      <c r="L18" s="38">
        <v>6.0</v>
      </c>
      <c r="M18" s="24" t="str">
        <f t="shared" si="3"/>
        <v>R2</v>
      </c>
      <c r="N18" s="24" t="s">
        <v>418</v>
      </c>
    </row>
    <row r="19" ht="30.75" customHeight="1">
      <c r="A19" s="16">
        <v>15.0</v>
      </c>
      <c r="B19" s="5" t="s">
        <v>499</v>
      </c>
      <c r="C19" s="16" t="s">
        <v>187</v>
      </c>
      <c r="D19" s="6" t="s">
        <v>501</v>
      </c>
      <c r="E19" s="6" t="s">
        <v>502</v>
      </c>
      <c r="F19" s="16">
        <v>3.0</v>
      </c>
      <c r="G19" s="16">
        <v>3.0</v>
      </c>
      <c r="H19" s="16">
        <f t="shared" si="1"/>
        <v>9</v>
      </c>
      <c r="I19" s="16" t="str">
        <f t="shared" si="2"/>
        <v>Media</v>
      </c>
      <c r="J19" s="4">
        <v>5.0</v>
      </c>
      <c r="K19" s="16">
        <v>6.0</v>
      </c>
      <c r="L19" s="37">
        <v>5.0</v>
      </c>
      <c r="M19" s="16" t="str">
        <f t="shared" si="3"/>
        <v>R1</v>
      </c>
      <c r="N19" s="16" t="s">
        <v>475</v>
      </c>
    </row>
    <row r="20" ht="30.75" customHeight="1">
      <c r="A20" s="24">
        <v>16.0</v>
      </c>
      <c r="B20" s="10" t="s">
        <v>512</v>
      </c>
      <c r="C20" s="24" t="s">
        <v>127</v>
      </c>
      <c r="D20" s="11" t="s">
        <v>513</v>
      </c>
      <c r="E20" s="11" t="s">
        <v>514</v>
      </c>
      <c r="F20" s="24">
        <v>2.0</v>
      </c>
      <c r="G20" s="24">
        <v>3.0</v>
      </c>
      <c r="H20" s="24">
        <f t="shared" si="1"/>
        <v>6</v>
      </c>
      <c r="I20" s="24" t="str">
        <f t="shared" si="2"/>
        <v>Baja</v>
      </c>
      <c r="J20" s="9">
        <v>3.0</v>
      </c>
      <c r="K20" s="24">
        <v>6.0</v>
      </c>
      <c r="L20" s="38">
        <v>6.0</v>
      </c>
      <c r="M20" s="24" t="str">
        <f t="shared" si="3"/>
        <v>R2</v>
      </c>
      <c r="N20" s="24" t="s">
        <v>418</v>
      </c>
    </row>
    <row r="21" ht="37.5" customHeight="1">
      <c r="A21" s="16">
        <v>17.0</v>
      </c>
      <c r="B21" s="5" t="s">
        <v>521</v>
      </c>
      <c r="C21" s="16" t="s">
        <v>246</v>
      </c>
      <c r="D21" s="6" t="s">
        <v>522</v>
      </c>
      <c r="E21" s="6" t="s">
        <v>523</v>
      </c>
      <c r="F21" s="16">
        <v>4.0</v>
      </c>
      <c r="G21" s="16">
        <v>4.0</v>
      </c>
      <c r="H21" s="16">
        <f t="shared" si="1"/>
        <v>16</v>
      </c>
      <c r="I21" s="16" t="str">
        <f t="shared" si="2"/>
        <v>Alta</v>
      </c>
      <c r="J21" s="4">
        <v>8.0</v>
      </c>
      <c r="K21" s="16">
        <v>7.0</v>
      </c>
      <c r="L21" s="37">
        <v>6.0</v>
      </c>
      <c r="M21" s="16" t="str">
        <f t="shared" si="3"/>
        <v>R2</v>
      </c>
      <c r="N21" s="16" t="s">
        <v>418</v>
      </c>
    </row>
    <row r="22" ht="43.5" customHeight="1">
      <c r="A22" s="24">
        <v>18.0</v>
      </c>
      <c r="B22" s="10" t="s">
        <v>530</v>
      </c>
      <c r="C22" s="24" t="s">
        <v>21</v>
      </c>
      <c r="D22" s="11" t="s">
        <v>532</v>
      </c>
      <c r="E22" s="11" t="s">
        <v>533</v>
      </c>
      <c r="F22" s="24">
        <v>4.0</v>
      </c>
      <c r="G22" s="24">
        <v>4.0</v>
      </c>
      <c r="H22" s="24">
        <f t="shared" si="1"/>
        <v>16</v>
      </c>
      <c r="I22" s="24" t="str">
        <f t="shared" si="2"/>
        <v>Alta</v>
      </c>
      <c r="J22" s="9">
        <v>5.0</v>
      </c>
      <c r="K22" s="24">
        <v>7.0</v>
      </c>
      <c r="L22" s="38" t="s">
        <v>466</v>
      </c>
      <c r="M22" s="24" t="str">
        <f t="shared" si="3"/>
        <v>R3</v>
      </c>
      <c r="N22" s="24" t="s">
        <v>418</v>
      </c>
    </row>
    <row r="23" ht="43.5" customHeight="1">
      <c r="A23" s="16">
        <v>19.0</v>
      </c>
      <c r="B23" s="5" t="s">
        <v>541</v>
      </c>
      <c r="C23" s="16" t="s">
        <v>210</v>
      </c>
      <c r="D23" s="6" t="s">
        <v>544</v>
      </c>
      <c r="E23" s="6" t="s">
        <v>443</v>
      </c>
      <c r="F23" s="16">
        <v>2.0</v>
      </c>
      <c r="G23" s="16">
        <v>4.0</v>
      </c>
      <c r="H23" s="16">
        <f t="shared" si="1"/>
        <v>8</v>
      </c>
      <c r="I23" s="16" t="str">
        <f t="shared" si="2"/>
        <v>Baja</v>
      </c>
      <c r="J23" s="4">
        <v>8.0</v>
      </c>
      <c r="K23" s="16">
        <v>7.0</v>
      </c>
      <c r="L23" s="37">
        <v>5.0</v>
      </c>
      <c r="M23" s="16" t="str">
        <f t="shared" si="3"/>
        <v>R1</v>
      </c>
      <c r="N23" s="16" t="s">
        <v>475</v>
      </c>
    </row>
    <row r="24" ht="30.75" customHeight="1">
      <c r="A24" s="24">
        <v>20.0</v>
      </c>
      <c r="B24" s="10" t="s">
        <v>561</v>
      </c>
      <c r="C24" s="24" t="s">
        <v>210</v>
      </c>
      <c r="D24" s="11" t="s">
        <v>564</v>
      </c>
      <c r="E24" s="11" t="s">
        <v>565</v>
      </c>
      <c r="F24" s="24">
        <v>2.0</v>
      </c>
      <c r="G24" s="24">
        <v>3.0</v>
      </c>
      <c r="H24" s="24">
        <f t="shared" si="1"/>
        <v>6</v>
      </c>
      <c r="I24" s="24" t="str">
        <f t="shared" si="2"/>
        <v>Baja</v>
      </c>
      <c r="J24" s="9">
        <v>5.0</v>
      </c>
      <c r="K24" s="24">
        <v>7.0</v>
      </c>
      <c r="L24" s="38">
        <v>5.0</v>
      </c>
      <c r="M24" s="24" t="str">
        <f t="shared" si="3"/>
        <v>R1</v>
      </c>
      <c r="N24" s="24" t="s">
        <v>475</v>
      </c>
    </row>
    <row r="25" ht="43.5" customHeight="1">
      <c r="A25" s="16">
        <v>21.0</v>
      </c>
      <c r="B25" s="5" t="s">
        <v>574</v>
      </c>
      <c r="C25" s="16" t="s">
        <v>246</v>
      </c>
      <c r="D25" s="6" t="s">
        <v>578</v>
      </c>
      <c r="E25" s="6" t="s">
        <v>580</v>
      </c>
      <c r="F25" s="16">
        <v>4.0</v>
      </c>
      <c r="G25" s="16">
        <v>4.0</v>
      </c>
      <c r="H25" s="16">
        <f t="shared" si="1"/>
        <v>16</v>
      </c>
      <c r="I25" s="16" t="str">
        <f t="shared" si="2"/>
        <v>Alta</v>
      </c>
      <c r="J25" s="4">
        <v>5.0</v>
      </c>
      <c r="K25" s="16">
        <v>8.0</v>
      </c>
      <c r="L25" s="37">
        <v>6.0</v>
      </c>
      <c r="M25" s="16" t="str">
        <f t="shared" si="3"/>
        <v>R2</v>
      </c>
      <c r="N25" s="16" t="s">
        <v>418</v>
      </c>
    </row>
    <row r="26" ht="30.75" customHeight="1">
      <c r="A26" s="24">
        <v>22.0</v>
      </c>
      <c r="B26" s="10" t="s">
        <v>587</v>
      </c>
      <c r="C26" s="24" t="s">
        <v>231</v>
      </c>
      <c r="D26" s="11" t="s">
        <v>588</v>
      </c>
      <c r="E26" s="11" t="s">
        <v>589</v>
      </c>
      <c r="F26" s="24">
        <v>4.0</v>
      </c>
      <c r="G26" s="24">
        <v>3.0</v>
      </c>
      <c r="H26" s="24">
        <f t="shared" si="1"/>
        <v>12</v>
      </c>
      <c r="I26" s="24" t="str">
        <f t="shared" si="2"/>
        <v>Media</v>
      </c>
      <c r="J26" s="9">
        <v>13.0</v>
      </c>
      <c r="K26" s="24">
        <v>8.0</v>
      </c>
      <c r="L26" s="38">
        <v>6.0</v>
      </c>
      <c r="M26" s="24" t="str">
        <f t="shared" si="3"/>
        <v>R2</v>
      </c>
      <c r="N26" s="24" t="s">
        <v>475</v>
      </c>
    </row>
    <row r="27" ht="30.75" customHeight="1">
      <c r="A27" s="16">
        <v>23.0</v>
      </c>
      <c r="B27" s="5" t="s">
        <v>596</v>
      </c>
      <c r="C27" s="16" t="s">
        <v>246</v>
      </c>
      <c r="D27" s="6" t="s">
        <v>597</v>
      </c>
      <c r="E27" s="6" t="s">
        <v>599</v>
      </c>
      <c r="F27" s="16">
        <v>5.0</v>
      </c>
      <c r="G27" s="16">
        <v>4.0</v>
      </c>
      <c r="H27" s="16">
        <f t="shared" si="1"/>
        <v>20</v>
      </c>
      <c r="I27" s="16" t="str">
        <f t="shared" si="2"/>
        <v>Alta</v>
      </c>
      <c r="J27" s="4">
        <v>5.0</v>
      </c>
      <c r="K27" s="16">
        <v>9.0</v>
      </c>
      <c r="L27" s="37">
        <v>7.0</v>
      </c>
      <c r="M27" s="16" t="str">
        <f t="shared" si="3"/>
        <v>R2</v>
      </c>
      <c r="N27" s="16" t="s">
        <v>418</v>
      </c>
    </row>
    <row r="28" ht="17.25" customHeight="1">
      <c r="A28" s="34" t="s">
        <v>260</v>
      </c>
      <c r="B28" s="20"/>
      <c r="C28" s="20"/>
      <c r="D28" s="20"/>
      <c r="E28" s="20"/>
      <c r="F28" s="20"/>
      <c r="G28" s="20"/>
      <c r="H28" s="20"/>
      <c r="I28" s="21"/>
      <c r="J28" s="25">
        <f>SUM(J5:J27)</f>
        <v>136</v>
      </c>
      <c r="K28" s="34"/>
      <c r="L28" s="20"/>
      <c r="M28" s="20"/>
      <c r="N28" s="21"/>
    </row>
    <row r="29" ht="15.75" customHeight="1"/>
    <row r="30" ht="18.0" customHeight="1">
      <c r="A30" s="27" t="s">
        <v>635</v>
      </c>
    </row>
    <row r="31" ht="18.75" customHeight="1">
      <c r="A31" s="3" t="s">
        <v>637</v>
      </c>
      <c r="B31" s="3" t="s">
        <v>20</v>
      </c>
      <c r="C31" s="3" t="s">
        <v>338</v>
      </c>
    </row>
    <row r="32" ht="17.25" customHeight="1">
      <c r="A32" s="4">
        <v>1.0</v>
      </c>
      <c r="B32" s="16">
        <f t="shared" ref="B32:B38" si="4">SUMIF($L$5:$L$27,A32,$J$5:$J$27)</f>
        <v>0</v>
      </c>
      <c r="C32" s="16" t="s">
        <v>466</v>
      </c>
    </row>
    <row r="33" ht="17.25" customHeight="1">
      <c r="A33" s="9">
        <v>2.0</v>
      </c>
      <c r="B33" s="24">
        <f t="shared" si="4"/>
        <v>0</v>
      </c>
      <c r="C33" s="24" t="s">
        <v>466</v>
      </c>
    </row>
    <row r="34" ht="17.25" customHeight="1">
      <c r="A34" s="4">
        <v>3.0</v>
      </c>
      <c r="B34" s="16">
        <f t="shared" si="4"/>
        <v>0</v>
      </c>
      <c r="C34" s="16" t="s">
        <v>466</v>
      </c>
    </row>
    <row r="35" ht="17.25" customHeight="1">
      <c r="A35" s="9">
        <v>4.0</v>
      </c>
      <c r="B35" s="24">
        <f t="shared" si="4"/>
        <v>39</v>
      </c>
      <c r="C35" s="24" t="s">
        <v>625</v>
      </c>
    </row>
    <row r="36" ht="17.25" customHeight="1">
      <c r="A36" s="4">
        <v>5.0</v>
      </c>
      <c r="B36" s="16">
        <f t="shared" si="4"/>
        <v>34</v>
      </c>
      <c r="C36" s="16" t="s">
        <v>625</v>
      </c>
    </row>
    <row r="37" ht="17.25" customHeight="1">
      <c r="A37" s="9">
        <v>6.0</v>
      </c>
      <c r="B37" s="24">
        <f t="shared" si="4"/>
        <v>40</v>
      </c>
      <c r="C37" s="24" t="s">
        <v>629</v>
      </c>
    </row>
    <row r="38" ht="17.25" customHeight="1">
      <c r="A38" s="4">
        <v>7.0</v>
      </c>
      <c r="B38" s="16">
        <f t="shared" si="4"/>
        <v>5</v>
      </c>
      <c r="C38" s="16" t="s">
        <v>629</v>
      </c>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8:I28"/>
    <mergeCell ref="K28:N28"/>
  </mergeCells>
  <conditionalFormatting sqref="I5:I28">
    <cfRule type="expression" dxfId="0" priority="1">
      <formula>I5="Hecho"</formula>
    </cfRule>
  </conditionalFormatting>
  <conditionalFormatting sqref="I5:I28">
    <cfRule type="expression" dxfId="0" priority="2">
      <formula>I5="Aprobado"</formula>
    </cfRule>
  </conditionalFormatting>
  <conditionalFormatting sqref="I5:I28">
    <cfRule type="expression" dxfId="0" priority="3">
      <formula>I5="Cerrado"</formula>
    </cfRule>
  </conditionalFormatting>
  <conditionalFormatting sqref="I5:I28">
    <cfRule type="expression" dxfId="0" priority="4">
      <formula>I5="Implementado"</formula>
    </cfRule>
  </conditionalFormatting>
  <conditionalFormatting sqref="I5:I28">
    <cfRule type="expression" dxfId="0" priority="5">
      <formula>I5="Terminado"</formula>
    </cfRule>
  </conditionalFormatting>
  <conditionalFormatting sqref="I5:I28">
    <cfRule type="expression" dxfId="0" priority="6">
      <formula>I5="Aplicado"</formula>
    </cfRule>
  </conditionalFormatting>
  <conditionalFormatting sqref="I5:I28">
    <cfRule type="expression" dxfId="0" priority="7">
      <formula>I5="A"</formula>
    </cfRule>
  </conditionalFormatting>
  <conditionalFormatting sqref="I5:I28">
    <cfRule type="expression" dxfId="1" priority="8">
      <formula>I5="En curso"</formula>
    </cfRule>
  </conditionalFormatting>
  <conditionalFormatting sqref="I5:I28">
    <cfRule type="expression" dxfId="1" priority="9">
      <formula>I5="Pendiente"</formula>
    </cfRule>
  </conditionalFormatting>
  <conditionalFormatting sqref="I5:I28">
    <cfRule type="expression" dxfId="1" priority="10">
      <formula>I5="Corregido"</formula>
    </cfRule>
  </conditionalFormatting>
  <conditionalFormatting sqref="I5:I28">
    <cfRule type="expression" dxfId="1" priority="11">
      <formula>I5="En desarrollo"</formula>
    </cfRule>
  </conditionalFormatting>
  <conditionalFormatting sqref="I5:I28">
    <cfRule type="expression" dxfId="1" priority="12">
      <formula>I5="En evaluación"</formula>
    </cfRule>
  </conditionalFormatting>
  <conditionalFormatting sqref="I5:I28">
    <cfRule type="expression" dxfId="1" priority="13">
      <formula>I5="En ejecución"</formula>
    </cfRule>
  </conditionalFormatting>
  <conditionalFormatting sqref="I5:I28">
    <cfRule type="expression" dxfId="1" priority="14">
      <formula>I5="Prueba de concepto"</formula>
    </cfRule>
  </conditionalFormatting>
  <conditionalFormatting sqref="I5:I28">
    <cfRule type="expression" dxfId="2" priority="15">
      <formula>I5="Por hacer"</formula>
    </cfRule>
  </conditionalFormatting>
  <conditionalFormatting sqref="I5:I28">
    <cfRule type="expression" dxfId="2" priority="16">
      <formula>I5="Planificado"</formula>
    </cfRule>
  </conditionalFormatting>
  <conditionalFormatting sqref="I5:I28">
    <cfRule type="expression" dxfId="2" priority="17">
      <formula>I5="Diseñado"</formula>
    </cfRule>
  </conditionalFormatting>
  <conditionalFormatting sqref="I5:I28">
    <cfRule type="expression" dxfId="3" priority="18">
      <formula>I5="Fallido"</formula>
    </cfRule>
  </conditionalFormatting>
  <conditionalFormatting sqref="I5:I28">
    <cfRule type="expression" dxfId="3" priority="19">
      <formula>I5="Abierto"</formula>
    </cfRule>
  </conditionalFormatting>
  <conditionalFormatting sqref="I5:I28">
    <cfRule type="expression" dxfId="3" priority="20">
      <formula>I5="R"</formula>
    </cfRule>
  </conditionalFormatting>
  <conditionalFormatting sqref="I5:I28">
    <cfRule type="expression" dxfId="4" priority="21">
      <formula>I5="Anulado"</formula>
    </cfRule>
  </conditionalFormatting>
  <conditionalFormatting sqref="I5:I28">
    <cfRule type="expression" dxfId="4" priority="22">
      <formula>I5="Descartada"</formula>
    </cfRule>
  </conditionalFormatting>
  <conditionalFormatting sqref="I5:I28">
    <cfRule type="expression" dxfId="4" priority="23">
      <formula>I5="No aplica"</formula>
    </cfRule>
  </conditionalFormatting>
  <conditionalFormatting sqref="N5:N28">
    <cfRule type="expression" dxfId="0" priority="24">
      <formula>N5="Hecho"</formula>
    </cfRule>
  </conditionalFormatting>
  <conditionalFormatting sqref="N5:N28">
    <cfRule type="expression" dxfId="0" priority="25">
      <formula>N5="Aprobado"</formula>
    </cfRule>
  </conditionalFormatting>
  <conditionalFormatting sqref="N5:N28">
    <cfRule type="expression" dxfId="0" priority="26">
      <formula>N5="Cerrado"</formula>
    </cfRule>
  </conditionalFormatting>
  <conditionalFormatting sqref="N5:N28">
    <cfRule type="expression" dxfId="0" priority="27">
      <formula>N5="Implementado"</formula>
    </cfRule>
  </conditionalFormatting>
  <conditionalFormatting sqref="N5:N28">
    <cfRule type="expression" dxfId="0" priority="28">
      <formula>N5="Terminado"</formula>
    </cfRule>
  </conditionalFormatting>
  <conditionalFormatting sqref="N5:N28">
    <cfRule type="expression" dxfId="0" priority="29">
      <formula>N5="Aplicado"</formula>
    </cfRule>
  </conditionalFormatting>
  <conditionalFormatting sqref="N5:N28">
    <cfRule type="expression" dxfId="0" priority="30">
      <formula>N5="A"</formula>
    </cfRule>
  </conditionalFormatting>
  <conditionalFormatting sqref="N5:N28">
    <cfRule type="expression" dxfId="1" priority="31">
      <formula>N5="En curso"</formula>
    </cfRule>
  </conditionalFormatting>
  <conditionalFormatting sqref="N5:N28">
    <cfRule type="expression" dxfId="1" priority="32">
      <formula>N5="Pendiente"</formula>
    </cfRule>
  </conditionalFormatting>
  <conditionalFormatting sqref="N5:N28">
    <cfRule type="expression" dxfId="1" priority="33">
      <formula>N5="Corregido"</formula>
    </cfRule>
  </conditionalFormatting>
  <conditionalFormatting sqref="N5:N28">
    <cfRule type="expression" dxfId="1" priority="34">
      <formula>N5="En desarrollo"</formula>
    </cfRule>
  </conditionalFormatting>
  <conditionalFormatting sqref="N5:N28">
    <cfRule type="expression" dxfId="1" priority="35">
      <formula>N5="En evaluación"</formula>
    </cfRule>
  </conditionalFormatting>
  <conditionalFormatting sqref="N5:N28">
    <cfRule type="expression" dxfId="1" priority="36">
      <formula>N5="En ejecución"</formula>
    </cfRule>
  </conditionalFormatting>
  <conditionalFormatting sqref="N5:N28">
    <cfRule type="expression" dxfId="1" priority="37">
      <formula>N5="Prueba de concepto"</formula>
    </cfRule>
  </conditionalFormatting>
  <conditionalFormatting sqref="N5:N28">
    <cfRule type="expression" dxfId="2" priority="38">
      <formula>N5="Por hacer"</formula>
    </cfRule>
  </conditionalFormatting>
  <conditionalFormatting sqref="N5:N28">
    <cfRule type="expression" dxfId="2" priority="39">
      <formula>N5="Planificado"</formula>
    </cfRule>
  </conditionalFormatting>
  <conditionalFormatting sqref="N5:N28">
    <cfRule type="expression" dxfId="2" priority="40">
      <formula>N5="Diseñado"</formula>
    </cfRule>
  </conditionalFormatting>
  <conditionalFormatting sqref="N5:N28">
    <cfRule type="expression" dxfId="3" priority="41">
      <formula>N5="Fallido"</formula>
    </cfRule>
  </conditionalFormatting>
  <conditionalFormatting sqref="N5:N28">
    <cfRule type="expression" dxfId="3" priority="42">
      <formula>N5="Abierto"</formula>
    </cfRule>
  </conditionalFormatting>
  <conditionalFormatting sqref="N5:N28">
    <cfRule type="expression" dxfId="3" priority="43">
      <formula>N5="R"</formula>
    </cfRule>
  </conditionalFormatting>
  <conditionalFormatting sqref="N5:N28">
    <cfRule type="expression" dxfId="4" priority="44">
      <formula>N5="Anulado"</formula>
    </cfRule>
  </conditionalFormatting>
  <conditionalFormatting sqref="N5:N28">
    <cfRule type="expression" dxfId="4" priority="45">
      <formula>N5="Descartada"</formula>
    </cfRule>
  </conditionalFormatting>
  <conditionalFormatting sqref="N5:N28">
    <cfRule type="expression" dxfId="4" priority="46">
      <formula>N5="No aplica"</formula>
    </cfRule>
  </conditionalFormatting>
  <dataValidations>
    <dataValidation type="list" allowBlank="1" sqref="N5:N27">
      <formula1>"Por hacer,En curso,Hecho,Descartada"</formula1>
    </dataValidation>
  </dataValidations>
  <printOptions/>
  <pageMargins bottom="0.5" footer="0.0" header="0.0" left="0.4" right="0.4" top="0.5"/>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0"/>
    <col customWidth="1" min="2" max="2" width="12.0"/>
    <col customWidth="1" min="3" max="3" width="30.0"/>
    <col customWidth="1" min="4" max="5" width="32.0"/>
    <col customWidth="1" min="6" max="6" width="8.71"/>
  </cols>
  <sheetData>
    <row r="1" ht="18.0" customHeight="1">
      <c r="A1" s="1" t="s">
        <v>528</v>
      </c>
    </row>
    <row r="2">
      <c r="A2" s="2"/>
    </row>
    <row r="4" ht="18.75" customHeight="1">
      <c r="A4" s="3" t="s">
        <v>20</v>
      </c>
      <c r="B4" s="3" t="s">
        <v>535</v>
      </c>
      <c r="C4" s="3" t="s">
        <v>536</v>
      </c>
      <c r="D4" s="3" t="s">
        <v>538</v>
      </c>
      <c r="E4" s="3" t="s">
        <v>539</v>
      </c>
    </row>
    <row r="5" ht="17.25" customHeight="1">
      <c r="A5" s="4">
        <v>3.0</v>
      </c>
      <c r="B5" s="6" t="s">
        <v>546</v>
      </c>
      <c r="C5" s="6" t="s">
        <v>547</v>
      </c>
      <c r="D5" s="6" t="s">
        <v>548</v>
      </c>
      <c r="E5" s="6" t="s">
        <v>549</v>
      </c>
    </row>
    <row r="6" ht="30.75" customHeight="1">
      <c r="A6" s="9">
        <v>5.0</v>
      </c>
      <c r="B6" s="11" t="s">
        <v>552</v>
      </c>
      <c r="C6" s="11" t="s">
        <v>554</v>
      </c>
      <c r="D6" s="11" t="s">
        <v>555</v>
      </c>
      <c r="E6" s="11" t="s">
        <v>557</v>
      </c>
    </row>
    <row r="7" ht="30.75" customHeight="1">
      <c r="A7" s="4">
        <v>8.0</v>
      </c>
      <c r="B7" s="6" t="s">
        <v>559</v>
      </c>
      <c r="C7" s="6" t="s">
        <v>560</v>
      </c>
      <c r="D7" s="6" t="s">
        <v>562</v>
      </c>
      <c r="E7" s="6" t="s">
        <v>563</v>
      </c>
    </row>
    <row r="8" ht="30.75" customHeight="1">
      <c r="A8" s="9">
        <v>13.0</v>
      </c>
      <c r="B8" s="11" t="s">
        <v>566</v>
      </c>
      <c r="C8" s="11" t="s">
        <v>567</v>
      </c>
      <c r="D8" s="11" t="s">
        <v>568</v>
      </c>
      <c r="E8" s="11" t="s">
        <v>569</v>
      </c>
    </row>
    <row r="10" ht="18.0" customHeight="1">
      <c r="A10" s="27"/>
      <c r="C10" s="27" t="s">
        <v>572</v>
      </c>
    </row>
    <row r="11" ht="18.75" customHeight="1">
      <c r="C11" s="3" t="s">
        <v>573</v>
      </c>
      <c r="D11" s="3" t="s">
        <v>575</v>
      </c>
    </row>
    <row r="12" ht="17.25" customHeight="1">
      <c r="C12" s="6" t="s">
        <v>579</v>
      </c>
      <c r="D12" s="16">
        <f>COUNTA('G1 Squad'!A5:A7)</f>
        <v>3</v>
      </c>
    </row>
    <row r="13" ht="30.75" customHeight="1">
      <c r="C13" s="11" t="s">
        <v>594</v>
      </c>
      <c r="D13" s="13">
        <v>10.0</v>
      </c>
    </row>
    <row r="14" ht="17.25" customHeight="1">
      <c r="C14" s="6" t="s">
        <v>598</v>
      </c>
      <c r="D14" s="8">
        <v>11.0</v>
      </c>
    </row>
    <row r="15" ht="17.25" customHeight="1">
      <c r="C15" s="11" t="s">
        <v>600</v>
      </c>
      <c r="D15" s="9">
        <f>D12*D13*D14</f>
        <v>330</v>
      </c>
    </row>
    <row r="16" ht="30.75" customHeight="1">
      <c r="C16" s="6" t="s">
        <v>606</v>
      </c>
      <c r="D16" s="39">
        <f>SUM('H1 Sprints'!F5:F11)</f>
        <v>118</v>
      </c>
    </row>
    <row r="17" ht="17.25" customHeight="1">
      <c r="C17" s="11" t="s">
        <v>615</v>
      </c>
      <c r="D17" s="9">
        <f>ROUND(D15/D16,1)</f>
        <v>2.8</v>
      </c>
    </row>
    <row r="18" ht="30.75" customHeight="1">
      <c r="C18" s="6" t="s">
        <v>617</v>
      </c>
      <c r="D18" s="16" t="s">
        <v>618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5" footer="0.0" header="0.0" left="0.4" right="0.4" top="0.5"/>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5.0"/>
    <col customWidth="1" min="2" max="2" width="30.0"/>
    <col customWidth="1" min="3" max="3" width="7.0"/>
    <col customWidth="1" min="4" max="4" width="14.0"/>
    <col customWidth="1" min="5" max="5" width="8.86"/>
    <col customWidth="1" min="6" max="6" width="15.0"/>
    <col customWidth="1" min="7" max="7" width="56.0"/>
  </cols>
  <sheetData>
    <row r="1" ht="18.0" customHeight="1">
      <c r="A1" s="1" t="s">
        <v>616</v>
      </c>
    </row>
    <row r="2">
      <c r="A2" s="2"/>
    </row>
    <row r="4" ht="36.75" customHeight="1">
      <c r="A4" s="3" t="s">
        <v>619</v>
      </c>
      <c r="B4" s="3" t="s">
        <v>620</v>
      </c>
      <c r="C4" s="3" t="s">
        <v>10</v>
      </c>
      <c r="D4" s="3" t="s">
        <v>18</v>
      </c>
      <c r="E4" s="3" t="s">
        <v>338</v>
      </c>
      <c r="F4" s="3" t="s">
        <v>621</v>
      </c>
      <c r="G4" s="3" t="s">
        <v>622</v>
      </c>
    </row>
    <row r="5" ht="30.75" customHeight="1">
      <c r="A5" s="4">
        <v>1.0</v>
      </c>
      <c r="B5" s="5" t="s">
        <v>623</v>
      </c>
      <c r="C5" s="16" t="s">
        <v>56</v>
      </c>
      <c r="D5" s="6" t="s">
        <v>624</v>
      </c>
      <c r="E5" s="16" t="s">
        <v>625</v>
      </c>
      <c r="F5" s="24" t="s">
        <v>626</v>
      </c>
      <c r="G5" s="6" t="s">
        <v>627</v>
      </c>
    </row>
    <row r="6" ht="30.75" customHeight="1">
      <c r="A6" s="9">
        <v>2.0</v>
      </c>
      <c r="B6" s="10" t="s">
        <v>628</v>
      </c>
      <c r="C6" s="24" t="s">
        <v>231</v>
      </c>
      <c r="D6" s="11" t="s">
        <v>587</v>
      </c>
      <c r="E6" s="24" t="s">
        <v>629</v>
      </c>
      <c r="F6" s="24" t="s">
        <v>626</v>
      </c>
      <c r="G6" s="11" t="s">
        <v>630</v>
      </c>
    </row>
    <row r="7" ht="30.75" customHeight="1">
      <c r="A7" s="4">
        <v>3.0</v>
      </c>
      <c r="B7" s="5" t="s">
        <v>631</v>
      </c>
      <c r="C7" s="16" t="s">
        <v>246</v>
      </c>
      <c r="D7" s="6" t="s">
        <v>410</v>
      </c>
      <c r="E7" s="16" t="s">
        <v>629</v>
      </c>
      <c r="F7" s="16" t="s">
        <v>632</v>
      </c>
      <c r="G7" s="6" t="s">
        <v>633</v>
      </c>
    </row>
    <row r="8" ht="30.75" customHeight="1">
      <c r="A8" s="9">
        <v>4.0</v>
      </c>
      <c r="B8" s="10" t="s">
        <v>634</v>
      </c>
      <c r="C8" s="24" t="s">
        <v>21</v>
      </c>
      <c r="D8" s="11" t="s">
        <v>636</v>
      </c>
      <c r="E8" s="24" t="s">
        <v>625</v>
      </c>
      <c r="F8" s="24" t="s">
        <v>626</v>
      </c>
      <c r="G8" s="11" t="s">
        <v>638</v>
      </c>
    </row>
    <row r="9" ht="30.75" customHeight="1">
      <c r="A9" s="4">
        <v>5.0</v>
      </c>
      <c r="B9" s="5" t="s">
        <v>639</v>
      </c>
      <c r="C9" s="16" t="s">
        <v>21</v>
      </c>
      <c r="D9" s="6" t="s">
        <v>640</v>
      </c>
      <c r="E9" s="16" t="s">
        <v>625</v>
      </c>
      <c r="F9" s="24" t="s">
        <v>626</v>
      </c>
      <c r="G9" s="6" t="s">
        <v>641</v>
      </c>
    </row>
    <row r="10" ht="30.75" customHeight="1">
      <c r="A10" s="9">
        <v>6.0</v>
      </c>
      <c r="B10" s="10" t="s">
        <v>642</v>
      </c>
      <c r="C10" s="24" t="s">
        <v>56</v>
      </c>
      <c r="D10" s="11" t="s">
        <v>643</v>
      </c>
      <c r="E10" s="24" t="s">
        <v>625</v>
      </c>
      <c r="F10" s="24" t="s">
        <v>632</v>
      </c>
      <c r="G10" s="11" t="s">
        <v>644</v>
      </c>
    </row>
    <row r="11" ht="17.25" customHeight="1">
      <c r="A11" s="4">
        <v>7.0</v>
      </c>
      <c r="B11" s="5" t="s">
        <v>645</v>
      </c>
      <c r="C11" s="16" t="s">
        <v>187</v>
      </c>
      <c r="D11" s="6" t="s">
        <v>499</v>
      </c>
      <c r="E11" s="16" t="s">
        <v>625</v>
      </c>
      <c r="F11" s="24" t="s">
        <v>626</v>
      </c>
      <c r="G11" s="6" t="s">
        <v>646</v>
      </c>
    </row>
    <row r="12" ht="30.75" customHeight="1">
      <c r="A12" s="9">
        <v>8.0</v>
      </c>
      <c r="B12" s="10" t="s">
        <v>90</v>
      </c>
      <c r="C12" s="24" t="s">
        <v>86</v>
      </c>
      <c r="D12" s="11" t="s">
        <v>392</v>
      </c>
      <c r="E12" s="24" t="s">
        <v>625</v>
      </c>
      <c r="F12" s="24" t="s">
        <v>626</v>
      </c>
      <c r="G12" s="11" t="s">
        <v>647</v>
      </c>
    </row>
    <row r="13" ht="30.75" customHeight="1">
      <c r="A13" s="4">
        <v>9.0</v>
      </c>
      <c r="B13" s="5" t="s">
        <v>648</v>
      </c>
      <c r="C13" s="16" t="s">
        <v>86</v>
      </c>
      <c r="D13" s="6" t="s">
        <v>477</v>
      </c>
      <c r="E13" s="16" t="s">
        <v>649</v>
      </c>
      <c r="F13" s="16" t="s">
        <v>485</v>
      </c>
      <c r="G13" s="6" t="s">
        <v>650</v>
      </c>
    </row>
    <row r="14" ht="17.25" customHeight="1">
      <c r="A14" s="9">
        <v>10.0</v>
      </c>
      <c r="B14" s="10" t="s">
        <v>651</v>
      </c>
      <c r="C14" s="24" t="s">
        <v>86</v>
      </c>
      <c r="D14" s="11" t="s">
        <v>420</v>
      </c>
      <c r="E14" s="24" t="s">
        <v>625</v>
      </c>
      <c r="F14" s="24" t="s">
        <v>626</v>
      </c>
      <c r="G14" s="11" t="s">
        <v>652</v>
      </c>
    </row>
    <row r="15" ht="29.25" customHeight="1">
      <c r="A15" s="4">
        <v>11.0</v>
      </c>
      <c r="B15" s="5" t="s">
        <v>653</v>
      </c>
      <c r="C15" s="16" t="s">
        <v>127</v>
      </c>
      <c r="D15" s="6" t="s">
        <v>401</v>
      </c>
      <c r="E15" s="16" t="s">
        <v>625</v>
      </c>
      <c r="F15" s="16" t="s">
        <v>626</v>
      </c>
      <c r="G15" s="6" t="s">
        <v>654</v>
      </c>
    </row>
    <row r="16" ht="17.25" customHeight="1">
      <c r="A16" s="9">
        <v>12.0</v>
      </c>
      <c r="B16" s="10" t="s">
        <v>655</v>
      </c>
      <c r="C16" s="24" t="s">
        <v>187</v>
      </c>
      <c r="D16" s="11" t="s">
        <v>499</v>
      </c>
      <c r="E16" s="24" t="s">
        <v>625</v>
      </c>
      <c r="F16" s="24" t="s">
        <v>656</v>
      </c>
      <c r="G16" s="11" t="s">
        <v>657</v>
      </c>
    </row>
    <row r="17" ht="17.25" customHeight="1">
      <c r="A17" s="4">
        <v>13.0</v>
      </c>
      <c r="B17" s="5" t="s">
        <v>658</v>
      </c>
      <c r="C17" s="16" t="s">
        <v>127</v>
      </c>
      <c r="D17" s="6" t="s">
        <v>659</v>
      </c>
      <c r="E17" s="16" t="s">
        <v>629</v>
      </c>
      <c r="F17" s="16" t="s">
        <v>632</v>
      </c>
      <c r="G17" s="6" t="s">
        <v>660</v>
      </c>
    </row>
    <row r="18" ht="30.75" customHeight="1">
      <c r="A18" s="9">
        <v>14.0</v>
      </c>
      <c r="B18" s="10" t="s">
        <v>661</v>
      </c>
      <c r="C18" s="24" t="s">
        <v>166</v>
      </c>
      <c r="D18" s="11" t="s">
        <v>452</v>
      </c>
      <c r="E18" s="24" t="s">
        <v>625</v>
      </c>
      <c r="F18" s="24" t="s">
        <v>626</v>
      </c>
      <c r="G18" s="11" t="s">
        <v>662</v>
      </c>
    </row>
    <row r="19" ht="30.75" customHeight="1">
      <c r="A19" s="4">
        <v>15.0</v>
      </c>
      <c r="B19" s="5" t="s">
        <v>663</v>
      </c>
      <c r="C19" s="16" t="s">
        <v>210</v>
      </c>
      <c r="D19" s="6" t="s">
        <v>664</v>
      </c>
      <c r="E19" s="16" t="s">
        <v>625</v>
      </c>
      <c r="F19" s="24" t="s">
        <v>626</v>
      </c>
      <c r="G19" s="6" t="s">
        <v>665</v>
      </c>
    </row>
    <row r="20" ht="30.75" customHeight="1">
      <c r="A20" s="9">
        <v>16.0</v>
      </c>
      <c r="B20" s="10" t="s">
        <v>666</v>
      </c>
      <c r="C20" s="24" t="s">
        <v>246</v>
      </c>
      <c r="D20" s="11" t="s">
        <v>667</v>
      </c>
      <c r="E20" s="24" t="s">
        <v>625</v>
      </c>
      <c r="F20" s="24" t="s">
        <v>626</v>
      </c>
      <c r="G20" s="11" t="s">
        <v>668</v>
      </c>
    </row>
    <row r="21" ht="30.75" customHeight="1">
      <c r="A21" s="4">
        <v>17.0</v>
      </c>
      <c r="B21" s="5" t="s">
        <v>669</v>
      </c>
      <c r="C21" s="16" t="s">
        <v>21</v>
      </c>
      <c r="D21" s="6" t="s">
        <v>530</v>
      </c>
      <c r="E21" s="16" t="s">
        <v>649</v>
      </c>
      <c r="F21" s="16" t="s">
        <v>656</v>
      </c>
      <c r="G21" s="6" t="s">
        <v>670</v>
      </c>
    </row>
    <row r="22" ht="17.25" customHeight="1">
      <c r="A22" s="9">
        <v>18.0</v>
      </c>
      <c r="B22" s="10" t="s">
        <v>671</v>
      </c>
      <c r="C22" s="24" t="s">
        <v>246</v>
      </c>
      <c r="D22" s="11" t="s">
        <v>521</v>
      </c>
      <c r="E22" s="24" t="s">
        <v>629</v>
      </c>
      <c r="F22" s="24" t="s">
        <v>672</v>
      </c>
      <c r="G22" s="11" t="s">
        <v>673</v>
      </c>
    </row>
    <row r="23" ht="17.25" customHeight="1">
      <c r="A23" s="4">
        <v>19.0</v>
      </c>
      <c r="B23" s="5" t="s">
        <v>674</v>
      </c>
      <c r="C23" s="16" t="s">
        <v>246</v>
      </c>
      <c r="D23" s="6" t="s">
        <v>574</v>
      </c>
      <c r="E23" s="16" t="s">
        <v>629</v>
      </c>
      <c r="F23" s="16" t="s">
        <v>675</v>
      </c>
      <c r="G23" s="6" t="s">
        <v>676</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5:F23">
    <cfRule type="expression" dxfId="0" priority="1">
      <formula>F5="Hecho"</formula>
    </cfRule>
  </conditionalFormatting>
  <conditionalFormatting sqref="F5:F23">
    <cfRule type="expression" dxfId="0" priority="2">
      <formula>F5="Aprobado"</formula>
    </cfRule>
  </conditionalFormatting>
  <conditionalFormatting sqref="F5:F23">
    <cfRule type="expression" dxfId="0" priority="3">
      <formula>F5="Cerrado"</formula>
    </cfRule>
  </conditionalFormatting>
  <conditionalFormatting sqref="F5:F23">
    <cfRule type="expression" dxfId="0" priority="4">
      <formula>F5="Implementado"</formula>
    </cfRule>
  </conditionalFormatting>
  <conditionalFormatting sqref="F5:F23">
    <cfRule type="expression" dxfId="0" priority="5">
      <formula>F5="Terminado"</formula>
    </cfRule>
  </conditionalFormatting>
  <conditionalFormatting sqref="F5:F23">
    <cfRule type="expression" dxfId="0" priority="6">
      <formula>F5="Aplicado"</formula>
    </cfRule>
  </conditionalFormatting>
  <conditionalFormatting sqref="F5:F23">
    <cfRule type="expression" dxfId="0" priority="7">
      <formula>F5="A"</formula>
    </cfRule>
  </conditionalFormatting>
  <conditionalFormatting sqref="F5:F23">
    <cfRule type="expression" dxfId="1" priority="8">
      <formula>F5="En curso"</formula>
    </cfRule>
  </conditionalFormatting>
  <conditionalFormatting sqref="F5:F23">
    <cfRule type="expression" dxfId="1" priority="9">
      <formula>F5="Pendiente"</formula>
    </cfRule>
  </conditionalFormatting>
  <conditionalFormatting sqref="F5:F23">
    <cfRule type="expression" dxfId="1" priority="10">
      <formula>F5="Corregido"</formula>
    </cfRule>
  </conditionalFormatting>
  <conditionalFormatting sqref="F5:F23">
    <cfRule type="expression" dxfId="1" priority="11">
      <formula>F5="En desarrollo"</formula>
    </cfRule>
  </conditionalFormatting>
  <conditionalFormatting sqref="F5:F23">
    <cfRule type="expression" dxfId="1" priority="12">
      <formula>F5="En evaluación"</formula>
    </cfRule>
  </conditionalFormatting>
  <conditionalFormatting sqref="F5:F23">
    <cfRule type="expression" dxfId="1" priority="13">
      <formula>F5="En ejecución"</formula>
    </cfRule>
  </conditionalFormatting>
  <conditionalFormatting sqref="F5:F23">
    <cfRule type="expression" dxfId="1" priority="14">
      <formula>F5="Prueba de concepto"</formula>
    </cfRule>
  </conditionalFormatting>
  <conditionalFormatting sqref="F5:F23">
    <cfRule type="expression" dxfId="2" priority="15">
      <formula>F5="Por hacer"</formula>
    </cfRule>
  </conditionalFormatting>
  <conditionalFormatting sqref="F5:F23">
    <cfRule type="expression" dxfId="2" priority="16">
      <formula>F5="Planificado"</formula>
    </cfRule>
  </conditionalFormatting>
  <conditionalFormatting sqref="F5:F23">
    <cfRule type="expression" dxfId="2" priority="17">
      <formula>F5="Diseñado"</formula>
    </cfRule>
  </conditionalFormatting>
  <conditionalFormatting sqref="F5:F23">
    <cfRule type="expression" dxfId="3" priority="18">
      <formula>F5="Fallido"</formula>
    </cfRule>
  </conditionalFormatting>
  <conditionalFormatting sqref="F5:F23">
    <cfRule type="expression" dxfId="3" priority="19">
      <formula>F5="Abierto"</formula>
    </cfRule>
  </conditionalFormatting>
  <conditionalFormatting sqref="F5:F23">
    <cfRule type="expression" dxfId="3" priority="20">
      <formula>F5="R"</formula>
    </cfRule>
  </conditionalFormatting>
  <conditionalFormatting sqref="F5:F23">
    <cfRule type="expression" dxfId="4" priority="21">
      <formula>F5="Anulado"</formula>
    </cfRule>
  </conditionalFormatting>
  <conditionalFormatting sqref="F5:F23">
    <cfRule type="expression" dxfId="4" priority="22">
      <formula>F5="Descartada"</formula>
    </cfRule>
  </conditionalFormatting>
  <conditionalFormatting sqref="F5:F23">
    <cfRule type="expression" dxfId="4" priority="23">
      <formula>F5="No aplica"</formula>
    </cfRule>
  </conditionalFormatting>
  <printOptions/>
  <pageMargins bottom="0.5" footer="0.0" header="0.0" left="0.4" right="0.4" top="0.5"/>
  <pageSetup fitToHeight="0"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8.0"/>
    <col customWidth="1" min="2" max="7" width="20.0"/>
  </cols>
  <sheetData>
    <row r="1" ht="18.0" customHeight="1">
      <c r="A1" s="1" t="s">
        <v>677</v>
      </c>
    </row>
    <row r="2">
      <c r="A2" s="2"/>
    </row>
    <row r="4" ht="31.5" customHeight="1">
      <c r="A4" s="3" t="s">
        <v>338</v>
      </c>
      <c r="B4" s="3" t="s">
        <v>678</v>
      </c>
      <c r="C4" s="3" t="s">
        <v>679</v>
      </c>
      <c r="D4" s="3" t="s">
        <v>680</v>
      </c>
      <c r="E4" s="3" t="s">
        <v>681</v>
      </c>
      <c r="F4" s="3" t="s">
        <v>682</v>
      </c>
      <c r="G4" s="3" t="s">
        <v>683</v>
      </c>
    </row>
    <row r="5" ht="43.5" customHeight="1">
      <c r="A5" s="40" t="s">
        <v>684</v>
      </c>
      <c r="B5" s="41" t="s">
        <v>685</v>
      </c>
      <c r="C5" s="41" t="s">
        <v>686</v>
      </c>
      <c r="D5" s="41" t="s">
        <v>687</v>
      </c>
      <c r="E5" s="41" t="s">
        <v>688</v>
      </c>
      <c r="F5" s="41" t="s">
        <v>689</v>
      </c>
      <c r="G5" s="42" t="s">
        <v>690</v>
      </c>
    </row>
    <row r="6" ht="43.5" customHeight="1">
      <c r="A6" s="26"/>
      <c r="B6" s="42" t="s">
        <v>691</v>
      </c>
      <c r="C6" s="41" t="s">
        <v>692</v>
      </c>
      <c r="D6" s="41" t="s">
        <v>693</v>
      </c>
      <c r="E6" s="43"/>
      <c r="F6" s="41" t="s">
        <v>694</v>
      </c>
      <c r="G6" s="42" t="s">
        <v>695</v>
      </c>
    </row>
    <row r="7" ht="43.5" customHeight="1">
      <c r="A7" s="28"/>
      <c r="B7" s="43"/>
      <c r="C7" s="42" t="s">
        <v>696</v>
      </c>
      <c r="D7" s="43"/>
      <c r="E7" s="43"/>
      <c r="F7" s="41" t="s">
        <v>697</v>
      </c>
      <c r="G7" s="43"/>
    </row>
    <row r="8" ht="43.5" customHeight="1">
      <c r="A8" s="40" t="s">
        <v>698</v>
      </c>
      <c r="B8" s="43"/>
      <c r="C8" s="42" t="s">
        <v>699</v>
      </c>
      <c r="D8" s="43"/>
      <c r="E8" s="43" t="s">
        <v>700</v>
      </c>
      <c r="F8" s="43"/>
      <c r="G8" s="43" t="s">
        <v>701</v>
      </c>
    </row>
    <row r="9" ht="43.5" customHeight="1">
      <c r="A9" s="26"/>
      <c r="B9" s="43"/>
      <c r="C9" s="43"/>
      <c r="D9" s="43"/>
      <c r="E9" s="43" t="s">
        <v>702</v>
      </c>
      <c r="F9" s="43"/>
      <c r="G9" s="43" t="s">
        <v>703</v>
      </c>
    </row>
    <row r="10" ht="43.5" customHeight="1">
      <c r="A10" s="26"/>
      <c r="B10" s="43"/>
      <c r="C10" s="43"/>
      <c r="D10" s="43"/>
      <c r="E10" s="43"/>
      <c r="F10" s="43"/>
      <c r="G10" s="43" t="s">
        <v>704</v>
      </c>
    </row>
    <row r="11" ht="43.5" customHeight="1">
      <c r="A11" s="28"/>
      <c r="B11" s="43"/>
      <c r="C11" s="43"/>
      <c r="D11" s="43"/>
      <c r="E11" s="43"/>
      <c r="F11" s="43"/>
      <c r="G11" s="43" t="s">
        <v>705</v>
      </c>
    </row>
    <row r="12" ht="43.5" customHeight="1">
      <c r="A12" s="40" t="s">
        <v>706</v>
      </c>
      <c r="B12" s="43" t="s">
        <v>707</v>
      </c>
      <c r="C12" s="43"/>
      <c r="D12" s="43" t="s">
        <v>708</v>
      </c>
      <c r="E12" s="43"/>
      <c r="F12" s="43"/>
      <c r="G12" s="43"/>
    </row>
    <row r="13" ht="43.5" customHeight="1">
      <c r="A13" s="28"/>
      <c r="B13" s="43" t="s">
        <v>709</v>
      </c>
      <c r="C13" s="43"/>
      <c r="D13" s="43"/>
      <c r="E13" s="43"/>
      <c r="F13" s="43"/>
      <c r="G13" s="43"/>
    </row>
    <row r="14">
      <c r="A14" s="2" t="s">
        <v>710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5:A7"/>
    <mergeCell ref="A8:A11"/>
    <mergeCell ref="A12:A13"/>
  </mergeCells>
  <printOptions/>
  <pageMargins bottom="0.5" footer="0.0" header="0.0" left="0.4" right="0.4" top="0.5"/>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0"/>
    <col customWidth="1" min="2" max="2" width="18.0"/>
    <col customWidth="1" min="3" max="3" width="8.0"/>
    <col customWidth="1" min="4" max="4" width="11.0"/>
    <col customWidth="1" min="5" max="5" width="50.0"/>
    <col customWidth="1" min="6" max="6" width="26.0"/>
    <col customWidth="1" min="7" max="7" width="8.0"/>
    <col customWidth="1" min="8" max="8" width="14.0"/>
  </cols>
  <sheetData>
    <row r="1" ht="18.0" customHeight="1">
      <c r="A1" s="1" t="s">
        <v>67</v>
      </c>
    </row>
    <row r="2">
      <c r="A2" s="2"/>
    </row>
    <row r="4" ht="31.5" customHeight="1">
      <c r="A4" s="3" t="s">
        <v>338</v>
      </c>
      <c r="B4" s="3" t="s">
        <v>711</v>
      </c>
      <c r="C4" s="3" t="s">
        <v>712</v>
      </c>
      <c r="D4" s="3" t="s">
        <v>713</v>
      </c>
      <c r="E4" s="3" t="s">
        <v>714</v>
      </c>
      <c r="F4" s="3" t="s">
        <v>18</v>
      </c>
      <c r="G4" s="3" t="s">
        <v>20</v>
      </c>
      <c r="H4" s="3" t="s">
        <v>715</v>
      </c>
    </row>
    <row r="5" ht="78.75" customHeight="1">
      <c r="A5" s="4" t="s">
        <v>625</v>
      </c>
      <c r="B5" s="5" t="s">
        <v>716</v>
      </c>
      <c r="C5" s="16" t="s">
        <v>717</v>
      </c>
      <c r="D5" s="44">
        <v>46308.0</v>
      </c>
      <c r="E5" s="6" t="s">
        <v>718</v>
      </c>
      <c r="F5" s="6" t="s">
        <v>719</v>
      </c>
      <c r="G5" s="16">
        <f>SUMIF('G4 Product Backlog'!$M$5:$M$27,A5,'G4 Product Backlog'!$J$5:$J$27)</f>
        <v>73</v>
      </c>
      <c r="H5" s="6" t="s">
        <v>720</v>
      </c>
    </row>
    <row r="6" ht="48.75" customHeight="1">
      <c r="A6" s="9" t="s">
        <v>629</v>
      </c>
      <c r="B6" s="10" t="s">
        <v>721</v>
      </c>
      <c r="C6" s="24" t="s">
        <v>722</v>
      </c>
      <c r="D6" s="45">
        <v>46330.0</v>
      </c>
      <c r="E6" s="11" t="s">
        <v>723</v>
      </c>
      <c r="F6" s="11" t="s">
        <v>724</v>
      </c>
      <c r="G6" s="24">
        <f>SUMIF('G4 Product Backlog'!$M$5:$M$27,A6,'G4 Product Backlog'!$J$5:$J$27)</f>
        <v>45</v>
      </c>
      <c r="H6" s="11" t="s">
        <v>725</v>
      </c>
    </row>
    <row r="7" ht="63.75" customHeight="1">
      <c r="A7" s="4" t="s">
        <v>649</v>
      </c>
      <c r="B7" s="5" t="s">
        <v>726</v>
      </c>
      <c r="C7" s="16" t="s">
        <v>466</v>
      </c>
      <c r="D7" s="44" t="s">
        <v>466</v>
      </c>
      <c r="E7" s="6" t="s">
        <v>727</v>
      </c>
      <c r="F7" s="6" t="s">
        <v>729</v>
      </c>
      <c r="G7" s="16">
        <f>SUMIF('G4 Product Backlog'!$M$5:$M$27,A7,'G4 Product Backlog'!$J$5:$J$27)</f>
        <v>18</v>
      </c>
      <c r="H7" s="6" t="s">
        <v>732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5" footer="0.0" header="0.0" left="0.4" right="0.4" top="0.5"/>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7.0"/>
    <col customWidth="1" min="2" max="3" width="11.0"/>
    <col customWidth="1" min="4" max="4" width="52.0"/>
    <col customWidth="1" min="5" max="5" width="9.71"/>
    <col customWidth="1" min="6" max="8" width="8.0"/>
    <col customWidth="1" min="9" max="9" width="12.0"/>
    <col customWidth="1" min="10" max="14" width="8.0"/>
  </cols>
  <sheetData>
    <row r="1" ht="18.0" customHeight="1">
      <c r="A1" s="1" t="s">
        <v>728</v>
      </c>
    </row>
    <row r="2" ht="27.0" customHeight="1">
      <c r="A2" s="46" t="s">
        <v>730</v>
      </c>
    </row>
    <row r="4" ht="18.75" customHeight="1">
      <c r="A4" s="3" t="s">
        <v>637</v>
      </c>
      <c r="B4" s="3" t="s">
        <v>731</v>
      </c>
      <c r="C4" s="3" t="s">
        <v>713</v>
      </c>
      <c r="D4" s="3" t="s">
        <v>733</v>
      </c>
      <c r="E4" s="3" t="s">
        <v>338</v>
      </c>
      <c r="F4" s="3" t="s">
        <v>20</v>
      </c>
      <c r="G4" s="3" t="s">
        <v>734</v>
      </c>
      <c r="H4" s="3" t="s">
        <v>735</v>
      </c>
      <c r="I4" s="3" t="s">
        <v>339</v>
      </c>
    </row>
    <row r="5" ht="30.75" customHeight="1">
      <c r="A5" s="4">
        <v>1.0</v>
      </c>
      <c r="B5" s="44">
        <v>46261.0</v>
      </c>
      <c r="C5" s="44">
        <f>B5+28</f>
        <v>46289</v>
      </c>
      <c r="D5" s="6" t="s">
        <v>736</v>
      </c>
      <c r="E5" s="16" t="s">
        <v>466</v>
      </c>
      <c r="F5" s="39">
        <f>SUMIF('G4 Product Backlog'!$L$5:$L$27,A5,'G4 Product Backlog'!$J$5:$J$27)</f>
        <v>0</v>
      </c>
      <c r="G5" s="16">
        <f>COUNTA('H3 Sprint 1'!B15:B20)</f>
        <v>6</v>
      </c>
      <c r="H5" s="16">
        <f>COUNTIF('H3 Sprint 1'!H15:H20,"Hecho")</f>
        <v>6</v>
      </c>
      <c r="I5" s="16" t="s">
        <v>737</v>
      </c>
    </row>
    <row r="6" ht="30.75" customHeight="1">
      <c r="A6" s="9">
        <v>2.0</v>
      </c>
      <c r="B6" s="45">
        <v>46272.0</v>
      </c>
      <c r="C6" s="45">
        <f>B6+26</f>
        <v>46298</v>
      </c>
      <c r="D6" s="11" t="s">
        <v>746</v>
      </c>
      <c r="E6" s="24" t="s">
        <v>466</v>
      </c>
      <c r="F6" s="47">
        <f>SUMIF('G4 Product Backlog'!$L$5:$L$27,A6,'G4 Product Backlog'!$J$5:$J$27)</f>
        <v>0</v>
      </c>
      <c r="G6" s="24">
        <f>COUNTA('H4 Sprint 2'!B15:B21)</f>
        <v>7</v>
      </c>
      <c r="H6" s="24">
        <f>COUNTIF('H4 Sprint 2'!H15:H21,"Hecho")</f>
        <v>7</v>
      </c>
      <c r="I6" s="24" t="s">
        <v>737</v>
      </c>
    </row>
    <row r="7" ht="30.75" customHeight="1">
      <c r="A7" s="4">
        <v>3.0</v>
      </c>
      <c r="B7" s="44">
        <v>46289.0</v>
      </c>
      <c r="C7" s="44">
        <f>B7+19</f>
        <v>46308</v>
      </c>
      <c r="D7" s="6" t="s">
        <v>761</v>
      </c>
      <c r="E7" s="16" t="s">
        <v>466</v>
      </c>
      <c r="F7" s="39">
        <f>SUMIF('G4 Product Backlog'!$L$5:$L$27,A7,'G4 Product Backlog'!$J$5:$J$27)</f>
        <v>0</v>
      </c>
      <c r="G7" s="16">
        <f>COUNTA('H5 Sprint 3'!B15:B24)</f>
        <v>10</v>
      </c>
      <c r="H7" s="16">
        <f>COUNTIF('H5 Sprint 3'!H15:H24,"Hecho")</f>
        <v>10</v>
      </c>
      <c r="I7" s="16" t="s">
        <v>475</v>
      </c>
    </row>
    <row r="8" ht="30.75" customHeight="1">
      <c r="A8" s="9">
        <v>4.0</v>
      </c>
      <c r="B8" s="45">
        <v>46272.0</v>
      </c>
      <c r="C8" s="45">
        <f>B8+26</f>
        <v>46298</v>
      </c>
      <c r="D8" s="11" t="s">
        <v>762</v>
      </c>
      <c r="E8" s="24" t="s">
        <v>625</v>
      </c>
      <c r="F8" s="47">
        <f>SUMIF('G4 Product Backlog'!$L$5:$L$27,A8,'G4 Product Backlog'!$J$5:$J$27)</f>
        <v>39</v>
      </c>
      <c r="G8" s="24">
        <f>COUNTA('H12 Sprint 4'!B15:B26)</f>
        <v>12</v>
      </c>
      <c r="H8" s="24">
        <f>COUNTIF('H12 Sprint 4'!H15:H26,"Hecho")</f>
        <v>12</v>
      </c>
      <c r="I8" s="24" t="s">
        <v>737</v>
      </c>
    </row>
    <row r="9" ht="30.75" customHeight="1">
      <c r="A9" s="4">
        <v>5.0</v>
      </c>
      <c r="B9" s="44">
        <v>46289.0</v>
      </c>
      <c r="C9" s="44">
        <f>B9+19</f>
        <v>46308</v>
      </c>
      <c r="D9" s="6" t="s">
        <v>763</v>
      </c>
      <c r="E9" s="16" t="s">
        <v>625</v>
      </c>
      <c r="F9" s="39">
        <f>SUMIF('G4 Product Backlog'!$L$5:$L$27,A9,'G4 Product Backlog'!$J$5:$J$27)</f>
        <v>34</v>
      </c>
      <c r="G9" s="16">
        <f>COUNTA('H13 Sprint 5'!B15:B28)</f>
        <v>14</v>
      </c>
      <c r="H9" s="16">
        <f>COUNTIF('H13 Sprint 5'!H15:H28,"Hecho")</f>
        <v>12</v>
      </c>
      <c r="I9" s="16" t="s">
        <v>475</v>
      </c>
    </row>
    <row r="10" ht="30.75" customHeight="1">
      <c r="A10" s="9">
        <v>6.0</v>
      </c>
      <c r="B10" s="45">
        <v>46299.0</v>
      </c>
      <c r="C10" s="45">
        <f>B10+20</f>
        <v>46319</v>
      </c>
      <c r="D10" s="11" t="s">
        <v>764</v>
      </c>
      <c r="E10" s="24" t="s">
        <v>629</v>
      </c>
      <c r="F10" s="47">
        <f>SUMIF('G4 Product Backlog'!$L$5:$L$27,A10,'G4 Product Backlog'!$J$5:$J$27)</f>
        <v>40</v>
      </c>
      <c r="G10" s="24">
        <f>COUNTA('H14 Sprint 6'!B15:B23)</f>
        <v>9</v>
      </c>
      <c r="H10" s="24">
        <f>COUNTIF('H14 Sprint 6'!H15:H23,"Hecho")</f>
        <v>5</v>
      </c>
      <c r="I10" s="16" t="s">
        <v>475</v>
      </c>
    </row>
    <row r="11" ht="30.75" customHeight="1">
      <c r="A11" s="4">
        <v>7.0</v>
      </c>
      <c r="B11" s="44">
        <v>46320.0</v>
      </c>
      <c r="C11" s="44">
        <f>B11+10</f>
        <v>46330</v>
      </c>
      <c r="D11" s="6" t="s">
        <v>765</v>
      </c>
      <c r="E11" s="16" t="s">
        <v>629</v>
      </c>
      <c r="F11" s="39">
        <f>SUMIF('G4 Product Backlog'!$L$5:$L$27,A11,'G4 Product Backlog'!$J$5:$J$27)</f>
        <v>5</v>
      </c>
      <c r="G11" s="16">
        <f>COUNTA('H15 Sprint 7'!B15:B22)</f>
        <v>8</v>
      </c>
      <c r="H11" s="16">
        <f>COUNTIF('H15 Sprint 7'!H15:H22,"Hecho")</f>
        <v>1</v>
      </c>
      <c r="I11" s="16" t="s">
        <v>675</v>
      </c>
    </row>
    <row r="14" ht="18.0" customHeight="1">
      <c r="A14" s="27" t="s">
        <v>766</v>
      </c>
    </row>
    <row r="15" ht="18.75" customHeight="1">
      <c r="D15" s="48" t="s">
        <v>6</v>
      </c>
      <c r="E15" s="3" t="s">
        <v>767</v>
      </c>
      <c r="F15" s="3" t="s">
        <v>768</v>
      </c>
      <c r="G15" s="3" t="s">
        <v>769</v>
      </c>
      <c r="H15" s="3" t="s">
        <v>770</v>
      </c>
      <c r="I15" s="3" t="s">
        <v>771</v>
      </c>
      <c r="J15" s="3" t="s">
        <v>772</v>
      </c>
      <c r="K15" s="3" t="s">
        <v>773</v>
      </c>
      <c r="L15" s="3" t="s">
        <v>260</v>
      </c>
      <c r="M15" s="3" t="s">
        <v>774</v>
      </c>
      <c r="N15" s="3" t="s">
        <v>775</v>
      </c>
    </row>
    <row r="16" ht="17.25" customHeight="1">
      <c r="D16" s="49" t="s">
        <v>19</v>
      </c>
      <c r="E16" s="50">
        <f>SUMIF('H3 Sprint 1'!$D$15:$D$20,$D16,'H3 Sprint 1'!$E$15:$E$20)</f>
        <v>34</v>
      </c>
      <c r="F16" s="50">
        <f>SUMIF('H4 Sprint 2'!$D$15:$D$21,$D16,'H4 Sprint 2'!$E$15:$E$21)</f>
        <v>0</v>
      </c>
      <c r="G16" s="50">
        <f>SUMIF('H5 Sprint 3'!$D$15:$D$24,$D16,'H5 Sprint 3'!$E$15:$E$24)</f>
        <v>28</v>
      </c>
      <c r="H16" s="50">
        <f>SUMIF('H12 Sprint 4'!$D$15:$D$26,$D16,'H12 Sprint 4'!$E$15:$E$26)</f>
        <v>5</v>
      </c>
      <c r="I16" s="50">
        <f>SUMIF('H13 Sprint 5'!$D$15:$D$28,$D16,'H13 Sprint 5'!$E$15:$E$28)</f>
        <v>0</v>
      </c>
      <c r="J16" s="50">
        <f>SUMIF('H14 Sprint 6'!$D$15:$D$23,$D16,'H14 Sprint 6'!$E$15:$E$23)</f>
        <v>0</v>
      </c>
      <c r="K16" s="50">
        <f>SUMIF('H15 Sprint 7'!$D$15:$D$22,$D16,'H15 Sprint 7'!$E$15:$E$22)</f>
        <v>14</v>
      </c>
      <c r="L16" s="51">
        <f t="shared" ref="L16:L19" si="1">SUM(E16:K16)</f>
        <v>81</v>
      </c>
      <c r="M16" s="51">
        <f>'G1 Squad'!$D$5*11</f>
        <v>110</v>
      </c>
      <c r="N16" s="52">
        <f t="shared" ref="N16:N19" si="2">L16/M16</f>
        <v>0.7363636364</v>
      </c>
    </row>
    <row r="17" ht="17.25" customHeight="1">
      <c r="D17" s="53" t="s">
        <v>30</v>
      </c>
      <c r="E17" s="54">
        <f>SUMIF('H3 Sprint 1'!$D$15:$D$20,$D17,'H3 Sprint 1'!$E$15:$E$20)</f>
        <v>0</v>
      </c>
      <c r="F17" s="54">
        <f>SUMIF('H4 Sprint 2'!$D$15:$D$21,$D17,'H4 Sprint 2'!$E$15:$E$21)</f>
        <v>0</v>
      </c>
      <c r="G17" s="54">
        <f>SUMIF('H5 Sprint 3'!$D$15:$D$24,$D17,'H5 Sprint 3'!$E$15:$E$24)</f>
        <v>0</v>
      </c>
      <c r="H17" s="54">
        <f>SUMIF('H12 Sprint 4'!$D$15:$D$26,$D17,'H12 Sprint 4'!$E$15:$E$26)</f>
        <v>29</v>
      </c>
      <c r="I17" s="54">
        <f>SUMIF('H13 Sprint 5'!$D$15:$D$28,$D17,'H13 Sprint 5'!$E$15:$E$28)</f>
        <v>28</v>
      </c>
      <c r="J17" s="54">
        <f>SUMIF('H14 Sprint 6'!$D$15:$D$23,$D17,'H14 Sprint 6'!$E$15:$E$23)</f>
        <v>17</v>
      </c>
      <c r="K17" s="54">
        <f>SUMIF('H15 Sprint 7'!$D$15:$D$22,$D17,'H15 Sprint 7'!$E$15:$E$22)</f>
        <v>9</v>
      </c>
      <c r="L17" s="55">
        <f t="shared" si="1"/>
        <v>83</v>
      </c>
      <c r="M17" s="55">
        <f>'G1 Squad'!$D$5*11</f>
        <v>110</v>
      </c>
      <c r="N17" s="58">
        <f t="shared" si="2"/>
        <v>0.7545454545</v>
      </c>
    </row>
    <row r="18" ht="17.25" customHeight="1">
      <c r="D18" s="49" t="s">
        <v>39</v>
      </c>
      <c r="E18" s="50">
        <f>SUMIF('H3 Sprint 1'!$D$15:$D$20,$D18,'H3 Sprint 1'!$E$15:$E$20)</f>
        <v>0</v>
      </c>
      <c r="F18" s="50">
        <f>SUMIF('H4 Sprint 2'!$D$15:$D$21,$D18,'H4 Sprint 2'!$E$15:$E$21)</f>
        <v>36</v>
      </c>
      <c r="G18" s="50">
        <f>SUMIF('H5 Sprint 3'!$D$15:$D$24,$D18,'H5 Sprint 3'!$E$15:$E$24)</f>
        <v>0</v>
      </c>
      <c r="H18" s="50">
        <f>SUMIF('H12 Sprint 4'!$D$15:$D$26,$D18,'H12 Sprint 4'!$E$15:$E$26)</f>
        <v>0</v>
      </c>
      <c r="I18" s="50">
        <f>SUMIF('H13 Sprint 5'!$D$15:$D$28,$D18,'H13 Sprint 5'!$E$15:$E$28)</f>
        <v>11</v>
      </c>
      <c r="J18" s="50">
        <f>SUMIF('H14 Sprint 6'!$D$15:$D$23,$D18,'H14 Sprint 6'!$E$15:$E$23)</f>
        <v>19</v>
      </c>
      <c r="K18" s="50">
        <f>SUMIF('H15 Sprint 7'!$D$15:$D$22,$D18,'H15 Sprint 7'!$E$15:$E$22)</f>
        <v>14</v>
      </c>
      <c r="L18" s="51">
        <f t="shared" si="1"/>
        <v>80</v>
      </c>
      <c r="M18" s="51">
        <f>'G1 Squad'!$D$5*11</f>
        <v>110</v>
      </c>
      <c r="N18" s="52">
        <f t="shared" si="2"/>
        <v>0.7272727273</v>
      </c>
    </row>
    <row r="19" ht="17.25" customHeight="1">
      <c r="D19" s="61" t="s">
        <v>787</v>
      </c>
      <c r="E19" s="54">
        <f t="shared" ref="E19:K19" si="3">SUM(E16:E18)</f>
        <v>34</v>
      </c>
      <c r="F19" s="54">
        <f t="shared" si="3"/>
        <v>36</v>
      </c>
      <c r="G19" s="54">
        <f t="shared" si="3"/>
        <v>28</v>
      </c>
      <c r="H19" s="54">
        <f t="shared" si="3"/>
        <v>34</v>
      </c>
      <c r="I19" s="54">
        <f t="shared" si="3"/>
        <v>39</v>
      </c>
      <c r="J19" s="54">
        <f t="shared" si="3"/>
        <v>36</v>
      </c>
      <c r="K19" s="54">
        <f t="shared" si="3"/>
        <v>37</v>
      </c>
      <c r="L19" s="55">
        <f t="shared" si="1"/>
        <v>244</v>
      </c>
      <c r="M19" s="55">
        <f>SUM(M16:M18)</f>
        <v>330</v>
      </c>
      <c r="N19" s="58">
        <f t="shared" si="2"/>
        <v>0.7393939394</v>
      </c>
    </row>
    <row r="20" ht="17.25" customHeight="1">
      <c r="D20" s="64" t="s">
        <v>791</v>
      </c>
      <c r="E20" s="50">
        <f>'H3 Sprint 1'!$C$8</f>
        <v>41</v>
      </c>
      <c r="F20" s="50">
        <f>'H4 Sprint 2'!$C$8</f>
        <v>39</v>
      </c>
      <c r="G20" s="50">
        <f>'H5 Sprint 3'!$C$8</f>
        <v>29</v>
      </c>
      <c r="H20" s="50">
        <f>'H12 Sprint 4'!$C$8</f>
        <v>77</v>
      </c>
      <c r="I20" s="50">
        <f>'H13 Sprint 5'!$C$8</f>
        <v>57</v>
      </c>
      <c r="J20" s="50">
        <f>'H14 Sprint 6'!$C$8</f>
        <v>60</v>
      </c>
      <c r="K20" s="50">
        <f>'H15 Sprint 7'!$C$8</f>
        <v>47</v>
      </c>
      <c r="L20" s="51"/>
      <c r="M20" s="51"/>
      <c r="N20" s="51"/>
    </row>
    <row r="21" ht="15.75" customHeight="1"/>
    <row r="22" ht="39.75" customHeight="1">
      <c r="D22" s="46" t="s">
        <v>798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2:N2"/>
    <mergeCell ref="D22:N22"/>
  </mergeCells>
  <conditionalFormatting sqref="I5:I13">
    <cfRule type="expression" dxfId="0" priority="1">
      <formula>I5="Hecho"</formula>
    </cfRule>
  </conditionalFormatting>
  <conditionalFormatting sqref="I5:I13">
    <cfRule type="expression" dxfId="0" priority="2">
      <formula>I5="Aprobado"</formula>
    </cfRule>
  </conditionalFormatting>
  <conditionalFormatting sqref="I5:I13">
    <cfRule type="expression" dxfId="0" priority="3">
      <formula>I5="Cerrado"</formula>
    </cfRule>
  </conditionalFormatting>
  <conditionalFormatting sqref="I5:I13">
    <cfRule type="expression" dxfId="0" priority="4">
      <formula>I5="Implementado"</formula>
    </cfRule>
  </conditionalFormatting>
  <conditionalFormatting sqref="I5:I13">
    <cfRule type="expression" dxfId="0" priority="5">
      <formula>I5="Terminado"</formula>
    </cfRule>
  </conditionalFormatting>
  <conditionalFormatting sqref="I5:I13">
    <cfRule type="expression" dxfId="0" priority="6">
      <formula>I5="Aplicado"</formula>
    </cfRule>
  </conditionalFormatting>
  <conditionalFormatting sqref="I5:I13">
    <cfRule type="expression" dxfId="0" priority="7">
      <formula>I5="A"</formula>
    </cfRule>
  </conditionalFormatting>
  <conditionalFormatting sqref="I5:I13">
    <cfRule type="expression" dxfId="1" priority="8">
      <formula>I5="En curso"</formula>
    </cfRule>
  </conditionalFormatting>
  <conditionalFormatting sqref="I5:I13">
    <cfRule type="expression" dxfId="1" priority="9">
      <formula>I5="Pendiente"</formula>
    </cfRule>
  </conditionalFormatting>
  <conditionalFormatting sqref="I5:I13">
    <cfRule type="expression" dxfId="1" priority="10">
      <formula>I5="Corregido"</formula>
    </cfRule>
  </conditionalFormatting>
  <conditionalFormatting sqref="I5:I13">
    <cfRule type="expression" dxfId="1" priority="11">
      <formula>I5="En desarrollo"</formula>
    </cfRule>
  </conditionalFormatting>
  <conditionalFormatting sqref="I5:I13">
    <cfRule type="expression" dxfId="1" priority="12">
      <formula>I5="En evaluación"</formula>
    </cfRule>
  </conditionalFormatting>
  <conditionalFormatting sqref="I5:I13">
    <cfRule type="expression" dxfId="1" priority="13">
      <formula>I5="En ejecución"</formula>
    </cfRule>
  </conditionalFormatting>
  <conditionalFormatting sqref="I5:I13">
    <cfRule type="expression" dxfId="1" priority="14">
      <formula>I5="Prueba de concepto"</formula>
    </cfRule>
  </conditionalFormatting>
  <conditionalFormatting sqref="I5:I13">
    <cfRule type="expression" dxfId="2" priority="15">
      <formula>I5="Por hacer"</formula>
    </cfRule>
  </conditionalFormatting>
  <conditionalFormatting sqref="I5:I13">
    <cfRule type="expression" dxfId="2" priority="16">
      <formula>I5="Planificado"</formula>
    </cfRule>
  </conditionalFormatting>
  <conditionalFormatting sqref="I5:I13">
    <cfRule type="expression" dxfId="2" priority="17">
      <formula>I5="Diseñado"</formula>
    </cfRule>
  </conditionalFormatting>
  <conditionalFormatting sqref="I5:I13">
    <cfRule type="expression" dxfId="3" priority="18">
      <formula>I5="Fallido"</formula>
    </cfRule>
  </conditionalFormatting>
  <conditionalFormatting sqref="I5:I13">
    <cfRule type="expression" dxfId="3" priority="19">
      <formula>I5="Abierto"</formula>
    </cfRule>
  </conditionalFormatting>
  <conditionalFormatting sqref="I5:I13">
    <cfRule type="expression" dxfId="3" priority="20">
      <formula>I5="R"</formula>
    </cfRule>
  </conditionalFormatting>
  <conditionalFormatting sqref="I5:I13">
    <cfRule type="expression" dxfId="4" priority="21">
      <formula>I5="Anulado"</formula>
    </cfRule>
  </conditionalFormatting>
  <conditionalFormatting sqref="I5:I13">
    <cfRule type="expression" dxfId="4" priority="22">
      <formula>I5="Descartada"</formula>
    </cfRule>
  </conditionalFormatting>
  <conditionalFormatting sqref="I5:I13">
    <cfRule type="expression" dxfId="4" priority="23">
      <formula>I5="No aplica"</formula>
    </cfRule>
  </conditionalFormatting>
  <printOptions/>
  <pageMargins bottom="0.5" footer="0.0" header="0.0" left="0.4" right="0.4" top="0.5"/>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5.0"/>
    <col customWidth="1" min="2" max="2" width="64.0"/>
    <col customWidth="1" min="3" max="3" width="12.0"/>
    <col customWidth="1" min="4" max="4" width="30.0"/>
    <col customWidth="1" min="5" max="6" width="8.71"/>
  </cols>
  <sheetData>
    <row r="1" ht="18.0" customHeight="1">
      <c r="A1" s="1" t="s">
        <v>76</v>
      </c>
    </row>
    <row r="2">
      <c r="A2" s="2"/>
    </row>
    <row r="4" ht="18.75" customHeight="1">
      <c r="A4" s="3" t="s">
        <v>619</v>
      </c>
      <c r="B4" s="3" t="s">
        <v>738</v>
      </c>
      <c r="C4" s="3" t="s">
        <v>739</v>
      </c>
      <c r="D4" s="3" t="s">
        <v>740</v>
      </c>
    </row>
    <row r="5" ht="17.25" customHeight="1">
      <c r="A5" s="16">
        <v>1.0</v>
      </c>
      <c r="B5" s="6" t="s">
        <v>741</v>
      </c>
      <c r="C5" s="16" t="s">
        <v>742</v>
      </c>
      <c r="D5" s="6" t="s">
        <v>743</v>
      </c>
    </row>
    <row r="6" ht="30.75" customHeight="1">
      <c r="A6" s="24">
        <v>2.0</v>
      </c>
      <c r="B6" s="11" t="s">
        <v>744</v>
      </c>
      <c r="C6" s="24" t="s">
        <v>745</v>
      </c>
      <c r="D6" s="11" t="s">
        <v>747</v>
      </c>
    </row>
    <row r="7" ht="30.75" customHeight="1">
      <c r="A7" s="16">
        <v>3.0</v>
      </c>
      <c r="B7" s="6" t="s">
        <v>748</v>
      </c>
      <c r="C7" s="16" t="s">
        <v>745</v>
      </c>
      <c r="D7" s="6" t="s">
        <v>749</v>
      </c>
    </row>
    <row r="8" ht="17.25" customHeight="1">
      <c r="A8" s="24">
        <v>4.0</v>
      </c>
      <c r="B8" s="11" t="s">
        <v>750</v>
      </c>
      <c r="C8" s="24" t="s">
        <v>745</v>
      </c>
      <c r="D8" s="11" t="s">
        <v>751</v>
      </c>
    </row>
    <row r="9" ht="17.25" customHeight="1">
      <c r="A9" s="16">
        <v>5.0</v>
      </c>
      <c r="B9" s="6" t="s">
        <v>752</v>
      </c>
      <c r="C9" s="16" t="s">
        <v>745</v>
      </c>
      <c r="D9" s="6" t="s">
        <v>753</v>
      </c>
    </row>
    <row r="10" ht="17.25" customHeight="1">
      <c r="A10" s="24">
        <v>6.0</v>
      </c>
      <c r="B10" s="11" t="s">
        <v>754</v>
      </c>
      <c r="C10" s="24" t="s">
        <v>742</v>
      </c>
      <c r="D10" s="11" t="s">
        <v>755</v>
      </c>
    </row>
    <row r="11" ht="17.25" customHeight="1">
      <c r="A11" s="16">
        <v>7.0</v>
      </c>
      <c r="B11" s="6" t="s">
        <v>756</v>
      </c>
      <c r="C11" s="16" t="s">
        <v>745</v>
      </c>
      <c r="D11" s="6" t="s">
        <v>757</v>
      </c>
    </row>
    <row r="12" ht="17.25" customHeight="1">
      <c r="A12" s="24">
        <v>8.0</v>
      </c>
      <c r="B12" s="11" t="s">
        <v>758</v>
      </c>
      <c r="C12" s="24" t="s">
        <v>759</v>
      </c>
      <c r="D12" s="11" t="s">
        <v>760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5" footer="0.0" header="0.0" left="0.4" right="0.4" top="0.5"/>
  <pageSetup fitToHeight="0"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2.0" ySplit="14.0" topLeftCell="C15" activePane="bottomRight" state="frozen"/>
      <selection activeCell="C1" sqref="C1" pane="topRight"/>
      <selection activeCell="A15" sqref="A15" pane="bottomLeft"/>
      <selection activeCell="C15" sqref="C15" pane="bottomRight"/>
    </sheetView>
  </sheetViews>
  <sheetFormatPr customHeight="1" defaultColWidth="14.43" defaultRowHeight="15.0"/>
  <cols>
    <col customWidth="1" min="1" max="1" width="5.0"/>
    <col customWidth="1" min="2" max="2" width="46.0"/>
    <col customWidth="1" min="3" max="4" width="17.0"/>
    <col customWidth="1" min="5" max="7" width="7.0"/>
    <col customWidth="1" min="8" max="8" width="11.0"/>
    <col customWidth="1" min="9" max="9" width="8.0"/>
    <col customWidth="1" min="10" max="38" width="3.71"/>
    <col customWidth="1" min="39" max="39" width="7.0"/>
  </cols>
  <sheetData>
    <row r="1" ht="18.0" customHeight="1">
      <c r="A1" s="1" t="s">
        <v>778</v>
      </c>
    </row>
    <row r="2">
      <c r="A2" s="2" t="s">
        <v>780</v>
      </c>
    </row>
    <row r="3" ht="16.5" customHeight="1">
      <c r="B3" s="56" t="s">
        <v>733</v>
      </c>
      <c r="C3" s="57" t="s">
        <v>736</v>
      </c>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1"/>
    </row>
    <row r="4" ht="16.5" customHeight="1">
      <c r="B4" s="56" t="s">
        <v>731</v>
      </c>
      <c r="C4" s="59">
        <v>46261.0</v>
      </c>
    </row>
    <row r="5" ht="16.5" customHeight="1">
      <c r="B5" s="56" t="s">
        <v>713</v>
      </c>
      <c r="C5" s="59">
        <f>IF(C4="","",C4+28)</f>
        <v>46289</v>
      </c>
    </row>
    <row r="6" ht="16.5" customHeight="1">
      <c r="B6" s="56" t="s">
        <v>781</v>
      </c>
      <c r="C6" s="6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1"/>
    </row>
    <row r="7" ht="16.5" customHeight="1">
      <c r="B7" s="56" t="s">
        <v>782</v>
      </c>
      <c r="C7" s="57" t="s">
        <v>786</v>
      </c>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1"/>
    </row>
    <row r="8" ht="16.5" customHeight="1">
      <c r="B8" s="56" t="s">
        <v>785</v>
      </c>
      <c r="C8" s="62">
        <f>ROUND(1*10*29/7,0)</f>
        <v>41</v>
      </c>
    </row>
    <row r="9" ht="16.5" customHeight="1">
      <c r="B9" s="56" t="s">
        <v>788</v>
      </c>
      <c r="C9" s="62">
        <f>SUM(E15:E20)</f>
        <v>34</v>
      </c>
    </row>
    <row r="10" ht="16.5" customHeight="1">
      <c r="B10" s="56" t="s">
        <v>789</v>
      </c>
      <c r="C10" s="62">
        <f>COUNTIF(G15:G20,C4)</f>
        <v>6</v>
      </c>
    </row>
    <row r="11" ht="16.5" customHeight="1">
      <c r="B11" s="56" t="s">
        <v>790</v>
      </c>
      <c r="C11" s="63">
        <v>46289.0</v>
      </c>
    </row>
    <row r="13" ht="18.0" customHeight="1">
      <c r="A13" s="14" t="s">
        <v>792</v>
      </c>
      <c r="B13" s="15"/>
      <c r="C13" s="15"/>
      <c r="D13" s="15"/>
      <c r="E13" s="15"/>
      <c r="F13" s="15"/>
      <c r="G13" s="15"/>
      <c r="H13" s="15"/>
      <c r="I13" s="17"/>
      <c r="J13" s="14" t="s">
        <v>793</v>
      </c>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5"/>
      <c r="AK13" s="15"/>
      <c r="AL13" s="17"/>
      <c r="AM13" s="65" t="s">
        <v>794</v>
      </c>
    </row>
    <row r="14" ht="39.75" customHeight="1">
      <c r="A14" s="18" t="s">
        <v>619</v>
      </c>
      <c r="B14" s="18" t="s">
        <v>742</v>
      </c>
      <c r="C14" s="18" t="s">
        <v>795</v>
      </c>
      <c r="D14" s="18" t="s">
        <v>97</v>
      </c>
      <c r="E14" s="18" t="s">
        <v>796</v>
      </c>
      <c r="F14" s="18" t="s">
        <v>797</v>
      </c>
      <c r="G14" s="18" t="s">
        <v>559</v>
      </c>
      <c r="H14" s="18" t="s">
        <v>339</v>
      </c>
      <c r="I14" s="18" t="s">
        <v>713</v>
      </c>
      <c r="J14" s="66">
        <f>IF($C$4="","",$C$4+0)</f>
        <v>46261</v>
      </c>
      <c r="K14" s="66">
        <f>IF($C$4="","",$C$4+1)</f>
        <v>46262</v>
      </c>
      <c r="L14" s="66">
        <f>IF($C$4="","",$C$4+2)</f>
        <v>46263</v>
      </c>
      <c r="M14" s="66">
        <f>IF($C$4="","",$C$4+3)</f>
        <v>46264</v>
      </c>
      <c r="N14" s="66">
        <f>IF($C$4="","",$C$4+4)</f>
        <v>46265</v>
      </c>
      <c r="O14" s="66">
        <f>IF($C$4="","",$C$4+5)</f>
        <v>46266</v>
      </c>
      <c r="P14" s="66">
        <f>IF($C$4="","",$C$4+6)</f>
        <v>46267</v>
      </c>
      <c r="Q14" s="66">
        <f>IF($C$4="","",$C$4+7)</f>
        <v>46268</v>
      </c>
      <c r="R14" s="66">
        <f>IF($C$4="","",$C$4+8)</f>
        <v>46269</v>
      </c>
      <c r="S14" s="66">
        <f>IF($C$4="","",$C$4+9)</f>
        <v>46270</v>
      </c>
      <c r="T14" s="66">
        <f>IF($C$4="","",$C$4+10)</f>
        <v>46271</v>
      </c>
      <c r="U14" s="66">
        <f>IF($C$4="","",$C$4+11)</f>
        <v>46272</v>
      </c>
      <c r="V14" s="66">
        <f>IF($C$4="","",$C$4+12)</f>
        <v>46273</v>
      </c>
      <c r="W14" s="66">
        <f>IF($C$4="","",$C$4+13)</f>
        <v>46274</v>
      </c>
      <c r="X14" s="66">
        <f>IF($C$4="","",$C$4+14)</f>
        <v>46275</v>
      </c>
      <c r="Y14" s="66">
        <f>IF($C$4="","",$C$4+15)</f>
        <v>46276</v>
      </c>
      <c r="Z14" s="66">
        <f>IF($C$4="","",$C$4+16)</f>
        <v>46277</v>
      </c>
      <c r="AA14" s="66">
        <f>IF($C$4="","",$C$4+17)</f>
        <v>46278</v>
      </c>
      <c r="AB14" s="66">
        <f>IF($C$4="","",$C$4+18)</f>
        <v>46279</v>
      </c>
      <c r="AC14" s="66">
        <f>IF($C$4="","",$C$4+19)</f>
        <v>46280</v>
      </c>
      <c r="AD14" s="66">
        <f>IF($C$4="","",$C$4+20)</f>
        <v>46281</v>
      </c>
      <c r="AE14" s="66">
        <f>IF($C$4="","",$C$4+21)</f>
        <v>46282</v>
      </c>
      <c r="AF14" s="66">
        <f>IF($C$4="","",$C$4+22)</f>
        <v>46283</v>
      </c>
      <c r="AG14" s="66">
        <f>IF($C$4="","",$C$4+23)</f>
        <v>46284</v>
      </c>
      <c r="AH14" s="66">
        <f>IF($C$4="","",$C$4+24)</f>
        <v>46285</v>
      </c>
      <c r="AI14" s="66">
        <f>IF($C$4="","",$C$4+25)</f>
        <v>46286</v>
      </c>
      <c r="AJ14" s="66">
        <f>IF($C$4="","",$C$4+26)</f>
        <v>46287</v>
      </c>
      <c r="AK14" s="66">
        <f>IF($C$4="","",$C$4+27)</f>
        <v>46288</v>
      </c>
      <c r="AL14" s="66">
        <f>IF($C$4="","",$C$4+28)</f>
        <v>46289</v>
      </c>
      <c r="AM14" s="18" t="s">
        <v>799</v>
      </c>
    </row>
    <row r="15" ht="30.75" customHeight="1">
      <c r="A15" s="16">
        <v>1.0</v>
      </c>
      <c r="B15" s="6" t="s">
        <v>804</v>
      </c>
      <c r="C15" s="6" t="s">
        <v>205</v>
      </c>
      <c r="D15" s="6" t="s">
        <v>19</v>
      </c>
      <c r="E15" s="8">
        <v>6.0</v>
      </c>
      <c r="F15" s="67"/>
      <c r="G15" s="68">
        <v>46261.0</v>
      </c>
      <c r="H15" s="16" t="s">
        <v>375</v>
      </c>
      <c r="I15" s="68">
        <v>46261.0</v>
      </c>
      <c r="J15" s="16" t="str">
        <f t="shared" ref="J15:AL15" si="1">IF($I15=J$14,"✔","")</f>
        <v>✔</v>
      </c>
      <c r="K15" s="16" t="str">
        <f t="shared" si="1"/>
        <v/>
      </c>
      <c r="L15" s="16" t="str">
        <f t="shared" si="1"/>
        <v/>
      </c>
      <c r="M15" s="16" t="str">
        <f t="shared" si="1"/>
        <v/>
      </c>
      <c r="N15" s="16" t="str">
        <f t="shared" si="1"/>
        <v/>
      </c>
      <c r="O15" s="16" t="str">
        <f t="shared" si="1"/>
        <v/>
      </c>
      <c r="P15" s="16" t="str">
        <f t="shared" si="1"/>
        <v/>
      </c>
      <c r="Q15" s="16" t="str">
        <f t="shared" si="1"/>
        <v/>
      </c>
      <c r="R15" s="16" t="str">
        <f t="shared" si="1"/>
        <v/>
      </c>
      <c r="S15" s="16" t="str">
        <f t="shared" si="1"/>
        <v/>
      </c>
      <c r="T15" s="16" t="str">
        <f t="shared" si="1"/>
        <v/>
      </c>
      <c r="U15" s="16" t="str">
        <f t="shared" si="1"/>
        <v/>
      </c>
      <c r="V15" s="16" t="str">
        <f t="shared" si="1"/>
        <v/>
      </c>
      <c r="W15" s="16" t="str">
        <f t="shared" si="1"/>
        <v/>
      </c>
      <c r="X15" s="16" t="str">
        <f t="shared" si="1"/>
        <v/>
      </c>
      <c r="Y15" s="16" t="str">
        <f t="shared" si="1"/>
        <v/>
      </c>
      <c r="Z15" s="16" t="str">
        <f t="shared" si="1"/>
        <v/>
      </c>
      <c r="AA15" s="16" t="str">
        <f t="shared" si="1"/>
        <v/>
      </c>
      <c r="AB15" s="16" t="str">
        <f t="shared" si="1"/>
        <v/>
      </c>
      <c r="AC15" s="16" t="str">
        <f t="shared" si="1"/>
        <v/>
      </c>
      <c r="AD15" s="16" t="str">
        <f t="shared" si="1"/>
        <v/>
      </c>
      <c r="AE15" s="16" t="str">
        <f t="shared" si="1"/>
        <v/>
      </c>
      <c r="AF15" s="16" t="str">
        <f t="shared" si="1"/>
        <v/>
      </c>
      <c r="AG15" s="16" t="str">
        <f t="shared" si="1"/>
        <v/>
      </c>
      <c r="AH15" s="16" t="str">
        <f t="shared" si="1"/>
        <v/>
      </c>
      <c r="AI15" s="16" t="str">
        <f t="shared" si="1"/>
        <v/>
      </c>
      <c r="AJ15" s="16" t="str">
        <f t="shared" si="1"/>
        <v/>
      </c>
      <c r="AK15" s="16" t="str">
        <f t="shared" si="1"/>
        <v/>
      </c>
      <c r="AL15" s="16" t="str">
        <f t="shared" si="1"/>
        <v/>
      </c>
      <c r="AM15" s="16" t="s">
        <v>802</v>
      </c>
    </row>
    <row r="16" ht="17.25" customHeight="1">
      <c r="A16" s="24">
        <v>2.0</v>
      </c>
      <c r="B16" s="11" t="s">
        <v>810</v>
      </c>
      <c r="C16" s="11" t="s">
        <v>205</v>
      </c>
      <c r="D16" s="11" t="s">
        <v>19</v>
      </c>
      <c r="E16" s="13">
        <v>4.0</v>
      </c>
      <c r="F16" s="67"/>
      <c r="G16" s="70">
        <v>46261.0</v>
      </c>
      <c r="H16" s="24" t="s">
        <v>375</v>
      </c>
      <c r="I16" s="70">
        <v>46263.0</v>
      </c>
      <c r="J16" s="24" t="str">
        <f t="shared" ref="J16:AL16" si="2">IF($I16=J$14,"✔","")</f>
        <v/>
      </c>
      <c r="K16" s="24" t="str">
        <f t="shared" si="2"/>
        <v/>
      </c>
      <c r="L16" s="24" t="str">
        <f t="shared" si="2"/>
        <v>✔</v>
      </c>
      <c r="M16" s="24" t="str">
        <f t="shared" si="2"/>
        <v/>
      </c>
      <c r="N16" s="24" t="str">
        <f t="shared" si="2"/>
        <v/>
      </c>
      <c r="O16" s="24" t="str">
        <f t="shared" si="2"/>
        <v/>
      </c>
      <c r="P16" s="24" t="str">
        <f t="shared" si="2"/>
        <v/>
      </c>
      <c r="Q16" s="24" t="str">
        <f t="shared" si="2"/>
        <v/>
      </c>
      <c r="R16" s="24" t="str">
        <f t="shared" si="2"/>
        <v/>
      </c>
      <c r="S16" s="24" t="str">
        <f t="shared" si="2"/>
        <v/>
      </c>
      <c r="T16" s="24" t="str">
        <f t="shared" si="2"/>
        <v/>
      </c>
      <c r="U16" s="24" t="str">
        <f t="shared" si="2"/>
        <v/>
      </c>
      <c r="V16" s="24" t="str">
        <f t="shared" si="2"/>
        <v/>
      </c>
      <c r="W16" s="24" t="str">
        <f t="shared" si="2"/>
        <v/>
      </c>
      <c r="X16" s="24" t="str">
        <f t="shared" si="2"/>
        <v/>
      </c>
      <c r="Y16" s="24" t="str">
        <f t="shared" si="2"/>
        <v/>
      </c>
      <c r="Z16" s="24" t="str">
        <f t="shared" si="2"/>
        <v/>
      </c>
      <c r="AA16" s="24" t="str">
        <f t="shared" si="2"/>
        <v/>
      </c>
      <c r="AB16" s="24" t="str">
        <f t="shared" si="2"/>
        <v/>
      </c>
      <c r="AC16" s="24" t="str">
        <f t="shared" si="2"/>
        <v/>
      </c>
      <c r="AD16" s="24" t="str">
        <f t="shared" si="2"/>
        <v/>
      </c>
      <c r="AE16" s="24" t="str">
        <f t="shared" si="2"/>
        <v/>
      </c>
      <c r="AF16" s="24" t="str">
        <f t="shared" si="2"/>
        <v/>
      </c>
      <c r="AG16" s="24" t="str">
        <f t="shared" si="2"/>
        <v/>
      </c>
      <c r="AH16" s="24" t="str">
        <f t="shared" si="2"/>
        <v/>
      </c>
      <c r="AI16" s="24" t="str">
        <f t="shared" si="2"/>
        <v/>
      </c>
      <c r="AJ16" s="24" t="str">
        <f t="shared" si="2"/>
        <v/>
      </c>
      <c r="AK16" s="24" t="str">
        <f t="shared" si="2"/>
        <v/>
      </c>
      <c r="AL16" s="24" t="str">
        <f t="shared" si="2"/>
        <v/>
      </c>
      <c r="AM16" s="16" t="s">
        <v>802</v>
      </c>
    </row>
    <row r="17" ht="30.75" customHeight="1">
      <c r="A17" s="16">
        <v>3.0</v>
      </c>
      <c r="B17" s="6" t="s">
        <v>817</v>
      </c>
      <c r="C17" s="6" t="s">
        <v>205</v>
      </c>
      <c r="D17" s="6" t="s">
        <v>19</v>
      </c>
      <c r="E17" s="8">
        <v>6.0</v>
      </c>
      <c r="F17" s="67"/>
      <c r="G17" s="68">
        <v>46261.0</v>
      </c>
      <c r="H17" s="16" t="s">
        <v>375</v>
      </c>
      <c r="I17" s="68">
        <v>46265.0</v>
      </c>
      <c r="J17" s="16" t="str">
        <f t="shared" ref="J17:AL17" si="3">IF($I17=J$14,"✔","")</f>
        <v/>
      </c>
      <c r="K17" s="16" t="str">
        <f t="shared" si="3"/>
        <v/>
      </c>
      <c r="L17" s="16" t="str">
        <f t="shared" si="3"/>
        <v/>
      </c>
      <c r="M17" s="16" t="str">
        <f t="shared" si="3"/>
        <v/>
      </c>
      <c r="N17" s="16" t="str">
        <f t="shared" si="3"/>
        <v>✔</v>
      </c>
      <c r="O17" s="16" t="str">
        <f t="shared" si="3"/>
        <v/>
      </c>
      <c r="P17" s="16" t="str">
        <f t="shared" si="3"/>
        <v/>
      </c>
      <c r="Q17" s="16" t="str">
        <f t="shared" si="3"/>
        <v/>
      </c>
      <c r="R17" s="16" t="str">
        <f t="shared" si="3"/>
        <v/>
      </c>
      <c r="S17" s="16" t="str">
        <f t="shared" si="3"/>
        <v/>
      </c>
      <c r="T17" s="16" t="str">
        <f t="shared" si="3"/>
        <v/>
      </c>
      <c r="U17" s="16" t="str">
        <f t="shared" si="3"/>
        <v/>
      </c>
      <c r="V17" s="16" t="str">
        <f t="shared" si="3"/>
        <v/>
      </c>
      <c r="W17" s="16" t="str">
        <f t="shared" si="3"/>
        <v/>
      </c>
      <c r="X17" s="16" t="str">
        <f t="shared" si="3"/>
        <v/>
      </c>
      <c r="Y17" s="16" t="str">
        <f t="shared" si="3"/>
        <v/>
      </c>
      <c r="Z17" s="16" t="str">
        <f t="shared" si="3"/>
        <v/>
      </c>
      <c r="AA17" s="16" t="str">
        <f t="shared" si="3"/>
        <v/>
      </c>
      <c r="AB17" s="16" t="str">
        <f t="shared" si="3"/>
        <v/>
      </c>
      <c r="AC17" s="16" t="str">
        <f t="shared" si="3"/>
        <v/>
      </c>
      <c r="AD17" s="16" t="str">
        <f t="shared" si="3"/>
        <v/>
      </c>
      <c r="AE17" s="16" t="str">
        <f t="shared" si="3"/>
        <v/>
      </c>
      <c r="AF17" s="16" t="str">
        <f t="shared" si="3"/>
        <v/>
      </c>
      <c r="AG17" s="16" t="str">
        <f t="shared" si="3"/>
        <v/>
      </c>
      <c r="AH17" s="16" t="str">
        <f t="shared" si="3"/>
        <v/>
      </c>
      <c r="AI17" s="16" t="str">
        <f t="shared" si="3"/>
        <v/>
      </c>
      <c r="AJ17" s="16" t="str">
        <f t="shared" si="3"/>
        <v/>
      </c>
      <c r="AK17" s="16" t="str">
        <f t="shared" si="3"/>
        <v/>
      </c>
      <c r="AL17" s="16" t="str">
        <f t="shared" si="3"/>
        <v/>
      </c>
      <c r="AM17" s="16" t="s">
        <v>802</v>
      </c>
    </row>
    <row r="18" ht="30.75" customHeight="1">
      <c r="A18" s="24">
        <v>4.0</v>
      </c>
      <c r="B18" s="11" t="s">
        <v>821</v>
      </c>
      <c r="C18" s="11" t="s">
        <v>205</v>
      </c>
      <c r="D18" s="11" t="s">
        <v>19</v>
      </c>
      <c r="E18" s="13">
        <v>8.0</v>
      </c>
      <c r="F18" s="67"/>
      <c r="G18" s="70">
        <v>46261.0</v>
      </c>
      <c r="H18" s="24" t="s">
        <v>375</v>
      </c>
      <c r="I18" s="70">
        <v>46287.0</v>
      </c>
      <c r="J18" s="24" t="str">
        <f t="shared" ref="J18:AL18" si="4">IF($I18=J$14,"✔","")</f>
        <v/>
      </c>
      <c r="K18" s="24" t="str">
        <f t="shared" si="4"/>
        <v/>
      </c>
      <c r="L18" s="24" t="str">
        <f t="shared" si="4"/>
        <v/>
      </c>
      <c r="M18" s="24" t="str">
        <f t="shared" si="4"/>
        <v/>
      </c>
      <c r="N18" s="24" t="str">
        <f t="shared" si="4"/>
        <v/>
      </c>
      <c r="O18" s="24" t="str">
        <f t="shared" si="4"/>
        <v/>
      </c>
      <c r="P18" s="24" t="str">
        <f t="shared" si="4"/>
        <v/>
      </c>
      <c r="Q18" s="24" t="str">
        <f t="shared" si="4"/>
        <v/>
      </c>
      <c r="R18" s="24" t="str">
        <f t="shared" si="4"/>
        <v/>
      </c>
      <c r="S18" s="24" t="str">
        <f t="shared" si="4"/>
        <v/>
      </c>
      <c r="T18" s="24" t="str">
        <f t="shared" si="4"/>
        <v/>
      </c>
      <c r="U18" s="24" t="str">
        <f t="shared" si="4"/>
        <v/>
      </c>
      <c r="V18" s="24" t="str">
        <f t="shared" si="4"/>
        <v/>
      </c>
      <c r="W18" s="24" t="str">
        <f t="shared" si="4"/>
        <v/>
      </c>
      <c r="X18" s="24" t="str">
        <f t="shared" si="4"/>
        <v/>
      </c>
      <c r="Y18" s="24" t="str">
        <f t="shared" si="4"/>
        <v/>
      </c>
      <c r="Z18" s="24" t="str">
        <f t="shared" si="4"/>
        <v/>
      </c>
      <c r="AA18" s="24" t="str">
        <f t="shared" si="4"/>
        <v/>
      </c>
      <c r="AB18" s="24" t="str">
        <f t="shared" si="4"/>
        <v/>
      </c>
      <c r="AC18" s="24" t="str">
        <f t="shared" si="4"/>
        <v/>
      </c>
      <c r="AD18" s="24" t="str">
        <f t="shared" si="4"/>
        <v/>
      </c>
      <c r="AE18" s="24" t="str">
        <f t="shared" si="4"/>
        <v/>
      </c>
      <c r="AF18" s="24" t="str">
        <f t="shared" si="4"/>
        <v/>
      </c>
      <c r="AG18" s="24" t="str">
        <f t="shared" si="4"/>
        <v/>
      </c>
      <c r="AH18" s="24" t="str">
        <f t="shared" si="4"/>
        <v/>
      </c>
      <c r="AI18" s="24" t="str">
        <f t="shared" si="4"/>
        <v/>
      </c>
      <c r="AJ18" s="24" t="str">
        <f t="shared" si="4"/>
        <v>✔</v>
      </c>
      <c r="AK18" s="24" t="str">
        <f t="shared" si="4"/>
        <v/>
      </c>
      <c r="AL18" s="24" t="str">
        <f t="shared" si="4"/>
        <v/>
      </c>
      <c r="AM18" s="16" t="s">
        <v>802</v>
      </c>
    </row>
    <row r="19" ht="30.75" customHeight="1">
      <c r="A19" s="16">
        <v>5.0</v>
      </c>
      <c r="B19" s="6" t="s">
        <v>825</v>
      </c>
      <c r="C19" s="6" t="s">
        <v>826</v>
      </c>
      <c r="D19" s="6" t="s">
        <v>19</v>
      </c>
      <c r="E19" s="8">
        <v>5.0</v>
      </c>
      <c r="F19" s="67"/>
      <c r="G19" s="68">
        <v>46261.0</v>
      </c>
      <c r="H19" s="16" t="s">
        <v>375</v>
      </c>
      <c r="I19" s="68">
        <v>46288.0</v>
      </c>
      <c r="J19" s="16" t="str">
        <f t="shared" ref="J19:AL19" si="5">IF($I19=J$14,"✔","")</f>
        <v/>
      </c>
      <c r="K19" s="16" t="str">
        <f t="shared" si="5"/>
        <v/>
      </c>
      <c r="L19" s="16" t="str">
        <f t="shared" si="5"/>
        <v/>
      </c>
      <c r="M19" s="16" t="str">
        <f t="shared" si="5"/>
        <v/>
      </c>
      <c r="N19" s="16" t="str">
        <f t="shared" si="5"/>
        <v/>
      </c>
      <c r="O19" s="16" t="str">
        <f t="shared" si="5"/>
        <v/>
      </c>
      <c r="P19" s="16" t="str">
        <f t="shared" si="5"/>
        <v/>
      </c>
      <c r="Q19" s="16" t="str">
        <f t="shared" si="5"/>
        <v/>
      </c>
      <c r="R19" s="16" t="str">
        <f t="shared" si="5"/>
        <v/>
      </c>
      <c r="S19" s="16" t="str">
        <f t="shared" si="5"/>
        <v/>
      </c>
      <c r="T19" s="16" t="str">
        <f t="shared" si="5"/>
        <v/>
      </c>
      <c r="U19" s="16" t="str">
        <f t="shared" si="5"/>
        <v/>
      </c>
      <c r="V19" s="16" t="str">
        <f t="shared" si="5"/>
        <v/>
      </c>
      <c r="W19" s="16" t="str">
        <f t="shared" si="5"/>
        <v/>
      </c>
      <c r="X19" s="16" t="str">
        <f t="shared" si="5"/>
        <v/>
      </c>
      <c r="Y19" s="16" t="str">
        <f t="shared" si="5"/>
        <v/>
      </c>
      <c r="Z19" s="16" t="str">
        <f t="shared" si="5"/>
        <v/>
      </c>
      <c r="AA19" s="16" t="str">
        <f t="shared" si="5"/>
        <v/>
      </c>
      <c r="AB19" s="16" t="str">
        <f t="shared" si="5"/>
        <v/>
      </c>
      <c r="AC19" s="16" t="str">
        <f t="shared" si="5"/>
        <v/>
      </c>
      <c r="AD19" s="16" t="str">
        <f t="shared" si="5"/>
        <v/>
      </c>
      <c r="AE19" s="16" t="str">
        <f t="shared" si="5"/>
        <v/>
      </c>
      <c r="AF19" s="16" t="str">
        <f t="shared" si="5"/>
        <v/>
      </c>
      <c r="AG19" s="16" t="str">
        <f t="shared" si="5"/>
        <v/>
      </c>
      <c r="AH19" s="16" t="str">
        <f t="shared" si="5"/>
        <v/>
      </c>
      <c r="AI19" s="16" t="str">
        <f t="shared" si="5"/>
        <v/>
      </c>
      <c r="AJ19" s="16" t="str">
        <f t="shared" si="5"/>
        <v/>
      </c>
      <c r="AK19" s="16" t="str">
        <f t="shared" si="5"/>
        <v>✔</v>
      </c>
      <c r="AL19" s="16" t="str">
        <f t="shared" si="5"/>
        <v/>
      </c>
      <c r="AM19" s="16" t="s">
        <v>802</v>
      </c>
    </row>
    <row r="20" ht="30.75" customHeight="1">
      <c r="A20" s="24">
        <v>6.0</v>
      </c>
      <c r="B20" s="11" t="s">
        <v>827</v>
      </c>
      <c r="C20" s="11" t="s">
        <v>826</v>
      </c>
      <c r="D20" s="11" t="s">
        <v>19</v>
      </c>
      <c r="E20" s="13">
        <v>5.0</v>
      </c>
      <c r="F20" s="67"/>
      <c r="G20" s="70">
        <v>46261.0</v>
      </c>
      <c r="H20" s="24" t="s">
        <v>375</v>
      </c>
      <c r="I20" s="70">
        <v>46289.0</v>
      </c>
      <c r="J20" s="24" t="str">
        <f t="shared" ref="J20:AL20" si="6">IF($I20=J$14,"✔","")</f>
        <v/>
      </c>
      <c r="K20" s="24" t="str">
        <f t="shared" si="6"/>
        <v/>
      </c>
      <c r="L20" s="24" t="str">
        <f t="shared" si="6"/>
        <v/>
      </c>
      <c r="M20" s="24" t="str">
        <f t="shared" si="6"/>
        <v/>
      </c>
      <c r="N20" s="24" t="str">
        <f t="shared" si="6"/>
        <v/>
      </c>
      <c r="O20" s="24" t="str">
        <f t="shared" si="6"/>
        <v/>
      </c>
      <c r="P20" s="24" t="str">
        <f t="shared" si="6"/>
        <v/>
      </c>
      <c r="Q20" s="24" t="str">
        <f t="shared" si="6"/>
        <v/>
      </c>
      <c r="R20" s="24" t="str">
        <f t="shared" si="6"/>
        <v/>
      </c>
      <c r="S20" s="24" t="str">
        <f t="shared" si="6"/>
        <v/>
      </c>
      <c r="T20" s="24" t="str">
        <f t="shared" si="6"/>
        <v/>
      </c>
      <c r="U20" s="24" t="str">
        <f t="shared" si="6"/>
        <v/>
      </c>
      <c r="V20" s="24" t="str">
        <f t="shared" si="6"/>
        <v/>
      </c>
      <c r="W20" s="24" t="str">
        <f t="shared" si="6"/>
        <v/>
      </c>
      <c r="X20" s="24" t="str">
        <f t="shared" si="6"/>
        <v/>
      </c>
      <c r="Y20" s="24" t="str">
        <f t="shared" si="6"/>
        <v/>
      </c>
      <c r="Z20" s="24" t="str">
        <f t="shared" si="6"/>
        <v/>
      </c>
      <c r="AA20" s="24" t="str">
        <f t="shared" si="6"/>
        <v/>
      </c>
      <c r="AB20" s="24" t="str">
        <f t="shared" si="6"/>
        <v/>
      </c>
      <c r="AC20" s="24" t="str">
        <f t="shared" si="6"/>
        <v/>
      </c>
      <c r="AD20" s="24" t="str">
        <f t="shared" si="6"/>
        <v/>
      </c>
      <c r="AE20" s="24" t="str">
        <f t="shared" si="6"/>
        <v/>
      </c>
      <c r="AF20" s="24" t="str">
        <f t="shared" si="6"/>
        <v/>
      </c>
      <c r="AG20" s="24" t="str">
        <f t="shared" si="6"/>
        <v/>
      </c>
      <c r="AH20" s="24" t="str">
        <f t="shared" si="6"/>
        <v/>
      </c>
      <c r="AI20" s="24" t="str">
        <f t="shared" si="6"/>
        <v/>
      </c>
      <c r="AJ20" s="24" t="str">
        <f t="shared" si="6"/>
        <v/>
      </c>
      <c r="AK20" s="24" t="str">
        <f t="shared" si="6"/>
        <v/>
      </c>
      <c r="AL20" s="24" t="str">
        <f t="shared" si="6"/>
        <v>✔</v>
      </c>
      <c r="AM20" s="16" t="s">
        <v>802</v>
      </c>
    </row>
    <row r="21" ht="15.75" customHeight="1">
      <c r="A21" s="74"/>
      <c r="B21" s="74" t="s">
        <v>260</v>
      </c>
      <c r="C21" s="74"/>
      <c r="D21" s="74"/>
      <c r="E21" s="75">
        <f t="shared" ref="E21:F21" si="7">SUM(E15:E20)</f>
        <v>34</v>
      </c>
      <c r="F21" s="75">
        <f t="shared" si="7"/>
        <v>0</v>
      </c>
      <c r="G21" s="74"/>
      <c r="H21" s="75" t="str">
        <f>COUNTIF(H15:H20,"Hecho")&amp;" hechas"</f>
        <v>6 hechas</v>
      </c>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74"/>
    </row>
    <row r="22" ht="15.75" customHeight="1"/>
    <row r="23" ht="18.0" customHeight="1">
      <c r="A23" s="27" t="s">
        <v>830</v>
      </c>
    </row>
    <row r="24" ht="27.75" customHeight="1">
      <c r="A24" s="76" t="s">
        <v>834</v>
      </c>
      <c r="B24" s="76" t="s">
        <v>836</v>
      </c>
      <c r="C24" s="76" t="s">
        <v>837</v>
      </c>
      <c r="D24" s="76" t="s">
        <v>838</v>
      </c>
    </row>
    <row r="25" ht="15.75" customHeight="1">
      <c r="A25" s="78">
        <v>0.0</v>
      </c>
      <c r="B25" s="78" t="s">
        <v>840</v>
      </c>
      <c r="C25" s="78">
        <f t="shared" ref="C25:C54" si="8">IF($C$10=0,"",ROUND($C$10-$C$10*A25/29,1))</f>
        <v>6</v>
      </c>
      <c r="D25" s="78">
        <v>6.0</v>
      </c>
    </row>
    <row r="26" ht="15.75" customHeight="1">
      <c r="A26" s="78">
        <v>1.0</v>
      </c>
      <c r="B26" s="78" t="s">
        <v>898</v>
      </c>
      <c r="C26" s="78">
        <f t="shared" si="8"/>
        <v>5.8</v>
      </c>
      <c r="D26" s="78">
        <v>5.0</v>
      </c>
    </row>
    <row r="27" ht="15.75" customHeight="1">
      <c r="A27" s="78">
        <v>2.0</v>
      </c>
      <c r="B27" s="78" t="s">
        <v>902</v>
      </c>
      <c r="C27" s="78">
        <f t="shared" si="8"/>
        <v>5.6</v>
      </c>
      <c r="D27" s="78">
        <v>5.0</v>
      </c>
    </row>
    <row r="28" ht="15.75" customHeight="1">
      <c r="A28" s="78">
        <v>3.0</v>
      </c>
      <c r="B28" s="78" t="s">
        <v>904</v>
      </c>
      <c r="C28" s="78">
        <f t="shared" si="8"/>
        <v>5.4</v>
      </c>
      <c r="D28" s="78">
        <v>4.0</v>
      </c>
    </row>
    <row r="29" ht="15.75" customHeight="1">
      <c r="A29" s="78">
        <v>4.0</v>
      </c>
      <c r="B29" s="78" t="s">
        <v>906</v>
      </c>
      <c r="C29" s="78">
        <f t="shared" si="8"/>
        <v>5.2</v>
      </c>
      <c r="D29" s="78">
        <v>4.0</v>
      </c>
    </row>
    <row r="30" ht="15.75" customHeight="1">
      <c r="A30" s="78">
        <v>5.0</v>
      </c>
      <c r="B30" s="78" t="s">
        <v>909</v>
      </c>
      <c r="C30" s="78">
        <f t="shared" si="8"/>
        <v>5</v>
      </c>
      <c r="D30" s="78">
        <v>3.0</v>
      </c>
    </row>
    <row r="31" ht="15.75" customHeight="1">
      <c r="A31" s="78">
        <v>6.0</v>
      </c>
      <c r="B31" s="78" t="s">
        <v>911</v>
      </c>
      <c r="C31" s="78">
        <f t="shared" si="8"/>
        <v>4.8</v>
      </c>
      <c r="D31" s="78">
        <v>3.0</v>
      </c>
    </row>
    <row r="32" ht="15.75" customHeight="1">
      <c r="A32" s="78">
        <v>7.0</v>
      </c>
      <c r="B32" s="78" t="s">
        <v>913</v>
      </c>
      <c r="C32" s="78">
        <f t="shared" si="8"/>
        <v>4.6</v>
      </c>
      <c r="D32" s="78">
        <v>3.0</v>
      </c>
    </row>
    <row r="33" ht="15.75" customHeight="1">
      <c r="A33" s="78">
        <v>8.0</v>
      </c>
      <c r="B33" s="78" t="s">
        <v>915</v>
      </c>
      <c r="C33" s="78">
        <f t="shared" si="8"/>
        <v>4.3</v>
      </c>
      <c r="D33" s="78">
        <v>3.0</v>
      </c>
    </row>
    <row r="34" ht="15.75" customHeight="1">
      <c r="A34" s="78">
        <v>9.0</v>
      </c>
      <c r="B34" s="78" t="s">
        <v>917</v>
      </c>
      <c r="C34" s="78">
        <f t="shared" si="8"/>
        <v>4.1</v>
      </c>
      <c r="D34" s="78">
        <v>3.0</v>
      </c>
    </row>
    <row r="35" ht="15.75" customHeight="1">
      <c r="A35" s="78">
        <v>10.0</v>
      </c>
      <c r="B35" s="78" t="s">
        <v>918</v>
      </c>
      <c r="C35" s="78">
        <f t="shared" si="8"/>
        <v>3.9</v>
      </c>
      <c r="D35" s="78">
        <v>3.0</v>
      </c>
    </row>
    <row r="36" ht="15.75" customHeight="1">
      <c r="A36" s="78">
        <v>11.0</v>
      </c>
      <c r="B36" s="78" t="s">
        <v>919</v>
      </c>
      <c r="C36" s="78">
        <f t="shared" si="8"/>
        <v>3.7</v>
      </c>
      <c r="D36" s="78">
        <v>3.0</v>
      </c>
    </row>
    <row r="37" ht="15.75" customHeight="1">
      <c r="A37" s="78">
        <v>12.0</v>
      </c>
      <c r="B37" s="78" t="s">
        <v>884</v>
      </c>
      <c r="C37" s="78">
        <f t="shared" si="8"/>
        <v>3.5</v>
      </c>
      <c r="D37" s="78">
        <v>3.0</v>
      </c>
    </row>
    <row r="38" ht="15.75" customHeight="1">
      <c r="A38" s="78">
        <v>13.0</v>
      </c>
      <c r="B38" s="78" t="s">
        <v>886</v>
      </c>
      <c r="C38" s="78">
        <f t="shared" si="8"/>
        <v>3.3</v>
      </c>
      <c r="D38" s="78">
        <v>3.0</v>
      </c>
    </row>
    <row r="39" ht="15.75" customHeight="1">
      <c r="A39" s="78">
        <v>14.0</v>
      </c>
      <c r="B39" s="78" t="s">
        <v>888</v>
      </c>
      <c r="C39" s="78">
        <f t="shared" si="8"/>
        <v>3.1</v>
      </c>
      <c r="D39" s="78">
        <v>3.0</v>
      </c>
    </row>
    <row r="40" ht="15.75" customHeight="1">
      <c r="A40" s="78">
        <v>15.0</v>
      </c>
      <c r="B40" s="78" t="s">
        <v>890</v>
      </c>
      <c r="C40" s="78">
        <f t="shared" si="8"/>
        <v>2.9</v>
      </c>
      <c r="D40" s="78">
        <v>3.0</v>
      </c>
    </row>
    <row r="41" ht="15.75" customHeight="1">
      <c r="A41" s="78">
        <v>16.0</v>
      </c>
      <c r="B41" s="78" t="s">
        <v>893</v>
      </c>
      <c r="C41" s="78">
        <f t="shared" si="8"/>
        <v>2.7</v>
      </c>
      <c r="D41" s="78">
        <v>3.0</v>
      </c>
    </row>
    <row r="42" ht="15.75" customHeight="1">
      <c r="A42" s="78">
        <v>17.0</v>
      </c>
      <c r="B42" s="78" t="s">
        <v>894</v>
      </c>
      <c r="C42" s="78">
        <f t="shared" si="8"/>
        <v>2.5</v>
      </c>
      <c r="D42" s="78">
        <v>3.0</v>
      </c>
    </row>
    <row r="43" ht="15.75" customHeight="1">
      <c r="A43" s="78">
        <v>18.0</v>
      </c>
      <c r="B43" s="78" t="s">
        <v>896</v>
      </c>
      <c r="C43" s="78">
        <f t="shared" si="8"/>
        <v>2.3</v>
      </c>
      <c r="D43" s="78">
        <v>3.0</v>
      </c>
    </row>
    <row r="44" ht="15.75" customHeight="1">
      <c r="A44" s="78">
        <v>19.0</v>
      </c>
      <c r="B44" s="78" t="s">
        <v>899</v>
      </c>
      <c r="C44" s="78">
        <f t="shared" si="8"/>
        <v>2.1</v>
      </c>
      <c r="D44" s="78">
        <v>3.0</v>
      </c>
    </row>
    <row r="45" ht="15.75" customHeight="1">
      <c r="A45" s="78">
        <v>20.0</v>
      </c>
      <c r="B45" s="78" t="s">
        <v>901</v>
      </c>
      <c r="C45" s="78">
        <f t="shared" si="8"/>
        <v>1.9</v>
      </c>
      <c r="D45" s="78">
        <v>3.0</v>
      </c>
    </row>
    <row r="46" ht="15.75" customHeight="1">
      <c r="A46" s="78">
        <v>21.0</v>
      </c>
      <c r="B46" s="78" t="s">
        <v>903</v>
      </c>
      <c r="C46" s="78">
        <f t="shared" si="8"/>
        <v>1.7</v>
      </c>
      <c r="D46" s="78">
        <v>3.0</v>
      </c>
    </row>
    <row r="47" ht="15.75" customHeight="1">
      <c r="A47" s="78">
        <v>22.0</v>
      </c>
      <c r="B47" s="78" t="s">
        <v>905</v>
      </c>
      <c r="C47" s="78">
        <f t="shared" si="8"/>
        <v>1.4</v>
      </c>
      <c r="D47" s="78">
        <v>3.0</v>
      </c>
    </row>
    <row r="48" ht="15.75" customHeight="1">
      <c r="A48" s="78">
        <v>23.0</v>
      </c>
      <c r="B48" s="78" t="s">
        <v>907</v>
      </c>
      <c r="C48" s="78">
        <f t="shared" si="8"/>
        <v>1.2</v>
      </c>
      <c r="D48" s="78">
        <v>3.0</v>
      </c>
    </row>
    <row r="49" ht="15.75" customHeight="1">
      <c r="A49" s="78">
        <v>24.0</v>
      </c>
      <c r="B49" s="78" t="s">
        <v>908</v>
      </c>
      <c r="C49" s="78">
        <f t="shared" si="8"/>
        <v>1</v>
      </c>
      <c r="D49" s="78">
        <v>3.0</v>
      </c>
    </row>
    <row r="50" ht="15.75" customHeight="1">
      <c r="A50" s="78">
        <v>25.0</v>
      </c>
      <c r="B50" s="78" t="s">
        <v>910</v>
      </c>
      <c r="C50" s="78">
        <f t="shared" si="8"/>
        <v>0.8</v>
      </c>
      <c r="D50" s="78">
        <v>3.0</v>
      </c>
    </row>
    <row r="51" ht="15.75" customHeight="1">
      <c r="A51" s="78">
        <v>26.0</v>
      </c>
      <c r="B51" s="78" t="s">
        <v>912</v>
      </c>
      <c r="C51" s="78">
        <f t="shared" si="8"/>
        <v>0.6</v>
      </c>
      <c r="D51" s="78">
        <v>3.0</v>
      </c>
    </row>
    <row r="52" ht="15.75" customHeight="1">
      <c r="A52" s="78">
        <v>27.0</v>
      </c>
      <c r="B52" s="78" t="s">
        <v>914</v>
      </c>
      <c r="C52" s="78">
        <f t="shared" si="8"/>
        <v>0.4</v>
      </c>
      <c r="D52" s="78">
        <v>2.0</v>
      </c>
    </row>
    <row r="53" ht="15.75" customHeight="1">
      <c r="A53" s="78">
        <v>28.0</v>
      </c>
      <c r="B53" s="78" t="s">
        <v>916</v>
      </c>
      <c r="C53" s="78">
        <f t="shared" si="8"/>
        <v>0.2</v>
      </c>
      <c r="D53" s="78">
        <v>1.0</v>
      </c>
    </row>
    <row r="54" ht="15.75" customHeight="1">
      <c r="A54" s="78">
        <v>29.0</v>
      </c>
      <c r="B54" s="78" t="s">
        <v>862</v>
      </c>
      <c r="C54" s="78">
        <f t="shared" si="8"/>
        <v>0</v>
      </c>
      <c r="D54" s="78">
        <v>0.0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3:AM3"/>
    <mergeCell ref="C6:AM6"/>
    <mergeCell ref="C7:AM7"/>
    <mergeCell ref="A13:I13"/>
    <mergeCell ref="J13:AL13"/>
  </mergeCells>
  <conditionalFormatting sqref="H15:H20">
    <cfRule type="expression" dxfId="0" priority="1">
      <formula>H15="Hecho"</formula>
    </cfRule>
  </conditionalFormatting>
  <conditionalFormatting sqref="H15:H20">
    <cfRule type="expression" dxfId="0" priority="2">
      <formula>H15="Aprobado"</formula>
    </cfRule>
  </conditionalFormatting>
  <conditionalFormatting sqref="H15:H20">
    <cfRule type="expression" dxfId="0" priority="3">
      <formula>H15="Cerrado"</formula>
    </cfRule>
  </conditionalFormatting>
  <conditionalFormatting sqref="H15:H20">
    <cfRule type="expression" dxfId="0" priority="4">
      <formula>H15="Implementado"</formula>
    </cfRule>
  </conditionalFormatting>
  <conditionalFormatting sqref="H15:H20">
    <cfRule type="expression" dxfId="0" priority="5">
      <formula>H15="Terminado"</formula>
    </cfRule>
  </conditionalFormatting>
  <conditionalFormatting sqref="H15:H20">
    <cfRule type="expression" dxfId="0" priority="6">
      <formula>H15="Aplicado"</formula>
    </cfRule>
  </conditionalFormatting>
  <conditionalFormatting sqref="H15:H20">
    <cfRule type="expression" dxfId="0" priority="7">
      <formula>H15="A"</formula>
    </cfRule>
  </conditionalFormatting>
  <conditionalFormatting sqref="H15:H20">
    <cfRule type="expression" dxfId="1" priority="8">
      <formula>H15="En curso"</formula>
    </cfRule>
  </conditionalFormatting>
  <conditionalFormatting sqref="H15:H20">
    <cfRule type="expression" dxfId="1" priority="9">
      <formula>H15="Pendiente"</formula>
    </cfRule>
  </conditionalFormatting>
  <conditionalFormatting sqref="H15:H20">
    <cfRule type="expression" dxfId="1" priority="10">
      <formula>H15="Corregido"</formula>
    </cfRule>
  </conditionalFormatting>
  <conditionalFormatting sqref="H15:H20">
    <cfRule type="expression" dxfId="1" priority="11">
      <formula>H15="En desarrollo"</formula>
    </cfRule>
  </conditionalFormatting>
  <conditionalFormatting sqref="H15:H20">
    <cfRule type="expression" dxfId="1" priority="12">
      <formula>H15="En evaluación"</formula>
    </cfRule>
  </conditionalFormatting>
  <conditionalFormatting sqref="H15:H20">
    <cfRule type="expression" dxfId="1" priority="13">
      <formula>H15="En ejecución"</formula>
    </cfRule>
  </conditionalFormatting>
  <conditionalFormatting sqref="H15:H20">
    <cfRule type="expression" dxfId="1" priority="14">
      <formula>H15="Prueba de concepto"</formula>
    </cfRule>
  </conditionalFormatting>
  <conditionalFormatting sqref="H15:H20">
    <cfRule type="expression" dxfId="2" priority="15">
      <formula>H15="Por hacer"</formula>
    </cfRule>
  </conditionalFormatting>
  <conditionalFormatting sqref="H15:H20">
    <cfRule type="expression" dxfId="2" priority="16">
      <formula>H15="Planificado"</formula>
    </cfRule>
  </conditionalFormatting>
  <conditionalFormatting sqref="H15:H20">
    <cfRule type="expression" dxfId="2" priority="17">
      <formula>H15="Diseñado"</formula>
    </cfRule>
  </conditionalFormatting>
  <conditionalFormatting sqref="H15:H20">
    <cfRule type="expression" dxfId="3" priority="18">
      <formula>H15="Fallido"</formula>
    </cfRule>
  </conditionalFormatting>
  <conditionalFormatting sqref="H15:H20">
    <cfRule type="expression" dxfId="3" priority="19">
      <formula>H15="Abierto"</formula>
    </cfRule>
  </conditionalFormatting>
  <conditionalFormatting sqref="H15:H20">
    <cfRule type="expression" dxfId="3" priority="20">
      <formula>H15="R"</formula>
    </cfRule>
  </conditionalFormatting>
  <conditionalFormatting sqref="H15:H20">
    <cfRule type="expression" dxfId="4" priority="21">
      <formula>H15="Anulado"</formula>
    </cfRule>
  </conditionalFormatting>
  <conditionalFormatting sqref="H15:H20">
    <cfRule type="expression" dxfId="4" priority="22">
      <formula>H15="Descartada"</formula>
    </cfRule>
  </conditionalFormatting>
  <conditionalFormatting sqref="H15:H20">
    <cfRule type="expression" dxfId="4" priority="23">
      <formula>H15="No aplica"</formula>
    </cfRule>
  </conditionalFormatting>
  <conditionalFormatting sqref="AM15:AM20">
    <cfRule type="expression" dxfId="0" priority="24">
      <formula>AM15="Hecho"</formula>
    </cfRule>
  </conditionalFormatting>
  <conditionalFormatting sqref="AM15:AM20">
    <cfRule type="expression" dxfId="0" priority="25">
      <formula>AM15="Aprobado"</formula>
    </cfRule>
  </conditionalFormatting>
  <conditionalFormatting sqref="AM15:AM20">
    <cfRule type="expression" dxfId="0" priority="26">
      <formula>AM15="Cerrado"</formula>
    </cfRule>
  </conditionalFormatting>
  <conditionalFormatting sqref="AM15:AM20">
    <cfRule type="expression" dxfId="0" priority="27">
      <formula>AM15="Implementado"</formula>
    </cfRule>
  </conditionalFormatting>
  <conditionalFormatting sqref="AM15:AM20">
    <cfRule type="expression" dxfId="0" priority="28">
      <formula>AM15="Terminado"</formula>
    </cfRule>
  </conditionalFormatting>
  <conditionalFormatting sqref="AM15:AM20">
    <cfRule type="expression" dxfId="0" priority="29">
      <formula>AM15="Aplicado"</formula>
    </cfRule>
  </conditionalFormatting>
  <conditionalFormatting sqref="AM15:AM20">
    <cfRule type="expression" dxfId="0" priority="30">
      <formula>AM15="A"</formula>
    </cfRule>
  </conditionalFormatting>
  <conditionalFormatting sqref="AM15:AM20">
    <cfRule type="expression" dxfId="1" priority="31">
      <formula>AM15="En curso"</formula>
    </cfRule>
  </conditionalFormatting>
  <conditionalFormatting sqref="AM15:AM20">
    <cfRule type="expression" dxfId="1" priority="32">
      <formula>AM15="Pendiente"</formula>
    </cfRule>
  </conditionalFormatting>
  <conditionalFormatting sqref="AM15:AM20">
    <cfRule type="expression" dxfId="1" priority="33">
      <formula>AM15="Corregido"</formula>
    </cfRule>
  </conditionalFormatting>
  <conditionalFormatting sqref="AM15:AM20">
    <cfRule type="expression" dxfId="1" priority="34">
      <formula>AM15="En desarrollo"</formula>
    </cfRule>
  </conditionalFormatting>
  <conditionalFormatting sqref="AM15:AM20">
    <cfRule type="expression" dxfId="1" priority="35">
      <formula>AM15="En evaluación"</formula>
    </cfRule>
  </conditionalFormatting>
  <conditionalFormatting sqref="AM15:AM20">
    <cfRule type="expression" dxfId="1" priority="36">
      <formula>AM15="En ejecución"</formula>
    </cfRule>
  </conditionalFormatting>
  <conditionalFormatting sqref="AM15:AM20">
    <cfRule type="expression" dxfId="1" priority="37">
      <formula>AM15="Prueba de concepto"</formula>
    </cfRule>
  </conditionalFormatting>
  <conditionalFormatting sqref="AM15:AM20">
    <cfRule type="expression" dxfId="2" priority="38">
      <formula>AM15="Por hacer"</formula>
    </cfRule>
  </conditionalFormatting>
  <conditionalFormatting sqref="AM15:AM20">
    <cfRule type="expression" dxfId="2" priority="39">
      <formula>AM15="Planificado"</formula>
    </cfRule>
  </conditionalFormatting>
  <conditionalFormatting sqref="AM15:AM20">
    <cfRule type="expression" dxfId="2" priority="40">
      <formula>AM15="Diseñado"</formula>
    </cfRule>
  </conditionalFormatting>
  <conditionalFormatting sqref="AM15:AM20">
    <cfRule type="expression" dxfId="3" priority="41">
      <formula>AM15="Fallido"</formula>
    </cfRule>
  </conditionalFormatting>
  <conditionalFormatting sqref="AM15:AM20">
    <cfRule type="expression" dxfId="3" priority="42">
      <formula>AM15="Abierto"</formula>
    </cfRule>
  </conditionalFormatting>
  <conditionalFormatting sqref="AM15:AM20">
    <cfRule type="expression" dxfId="3" priority="43">
      <formula>AM15="R"</formula>
    </cfRule>
  </conditionalFormatting>
  <conditionalFormatting sqref="AM15:AM20">
    <cfRule type="expression" dxfId="4" priority="44">
      <formula>AM15="Anulado"</formula>
    </cfRule>
  </conditionalFormatting>
  <conditionalFormatting sqref="AM15:AM20">
    <cfRule type="expression" dxfId="4" priority="45">
      <formula>AM15="Descartada"</formula>
    </cfRule>
  </conditionalFormatting>
  <conditionalFormatting sqref="AM15:AM20">
    <cfRule type="expression" dxfId="4" priority="46">
      <formula>AM15="No aplica"</formula>
    </cfRule>
  </conditionalFormatting>
  <conditionalFormatting sqref="J15:AL20">
    <cfRule type="expression" dxfId="0" priority="47">
      <formula>J15="✔"</formula>
    </cfRule>
  </conditionalFormatting>
  <dataValidations>
    <dataValidation type="list" allowBlank="1" sqref="AM15:AM20">
      <formula1>"A,R"</formula1>
    </dataValidation>
    <dataValidation type="list" allowBlank="1" sqref="H15:H20">
      <formula1>"Por hacer,En curso,Hecho,Descartada"</formula1>
    </dataValidation>
  </dataValidations>
  <printOptions/>
  <pageMargins bottom="0.5" footer="0.0" header="0.0" left="0.4" right="0.4" top="0.5"/>
  <pageSetup fitToHeight="0"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2.0" ySplit="14.0" topLeftCell="C15" activePane="bottomRight" state="frozen"/>
      <selection activeCell="C1" sqref="C1" pane="topRight"/>
      <selection activeCell="A15" sqref="A15" pane="bottomLeft"/>
      <selection activeCell="C15" sqref="C15" pane="bottomRight"/>
    </sheetView>
  </sheetViews>
  <sheetFormatPr customHeight="1" defaultColWidth="14.43" defaultRowHeight="15.0"/>
  <cols>
    <col customWidth="1" min="1" max="1" width="5.0"/>
    <col customWidth="1" min="2" max="2" width="46.0"/>
    <col customWidth="1" min="3" max="4" width="17.0"/>
    <col customWidth="1" min="5" max="7" width="7.0"/>
    <col customWidth="1" min="8" max="8" width="11.0"/>
    <col customWidth="1" min="9" max="9" width="8.0"/>
    <col customWidth="1" min="10" max="36" width="3.71"/>
    <col customWidth="1" min="37" max="37" width="7.0"/>
  </cols>
  <sheetData>
    <row r="1" ht="18.0" customHeight="1">
      <c r="A1" s="1" t="s">
        <v>777</v>
      </c>
    </row>
    <row r="2">
      <c r="A2" s="2" t="s">
        <v>779</v>
      </c>
    </row>
    <row r="3" ht="16.5" customHeight="1">
      <c r="B3" s="56" t="s">
        <v>733</v>
      </c>
      <c r="C3" s="57" t="s">
        <v>746</v>
      </c>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1"/>
    </row>
    <row r="4" ht="16.5" customHeight="1">
      <c r="B4" s="56" t="s">
        <v>731</v>
      </c>
      <c r="C4" s="59">
        <v>46272.0</v>
      </c>
    </row>
    <row r="5" ht="16.5" customHeight="1">
      <c r="B5" s="56" t="s">
        <v>713</v>
      </c>
      <c r="C5" s="59">
        <f>IF(C4="","",C4+26)</f>
        <v>46298</v>
      </c>
    </row>
    <row r="6" ht="16.5" customHeight="1">
      <c r="B6" s="56" t="s">
        <v>781</v>
      </c>
      <c r="C6" s="6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1"/>
    </row>
    <row r="7" ht="16.5" customHeight="1">
      <c r="B7" s="56" t="s">
        <v>782</v>
      </c>
      <c r="C7" s="57" t="s">
        <v>784</v>
      </c>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1"/>
    </row>
    <row r="8" ht="16.5" customHeight="1">
      <c r="B8" s="56" t="s">
        <v>785</v>
      </c>
      <c r="C8" s="62">
        <f>ROUND(1*10*27/7,0)</f>
        <v>39</v>
      </c>
    </row>
    <row r="9" ht="16.5" customHeight="1">
      <c r="B9" s="56" t="s">
        <v>788</v>
      </c>
      <c r="C9" s="62">
        <f>SUM(E15:E21)</f>
        <v>36</v>
      </c>
    </row>
    <row r="10" ht="16.5" customHeight="1">
      <c r="B10" s="56" t="s">
        <v>789</v>
      </c>
      <c r="C10" s="62">
        <f>COUNTIF(G15:G21,C4)</f>
        <v>7</v>
      </c>
    </row>
    <row r="11" ht="16.5" customHeight="1">
      <c r="B11" s="56" t="s">
        <v>790</v>
      </c>
      <c r="C11" s="63">
        <v>46298.0</v>
      </c>
    </row>
    <row r="13" ht="18.0" customHeight="1">
      <c r="A13" s="14" t="s">
        <v>792</v>
      </c>
      <c r="B13" s="15"/>
      <c r="C13" s="15"/>
      <c r="D13" s="15"/>
      <c r="E13" s="15"/>
      <c r="F13" s="15"/>
      <c r="G13" s="15"/>
      <c r="H13" s="15"/>
      <c r="I13" s="17"/>
      <c r="J13" s="14" t="s">
        <v>793</v>
      </c>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7"/>
      <c r="AK13" s="65" t="s">
        <v>794</v>
      </c>
    </row>
    <row r="14" ht="39.75" customHeight="1">
      <c r="A14" s="18" t="s">
        <v>619</v>
      </c>
      <c r="B14" s="18" t="s">
        <v>742</v>
      </c>
      <c r="C14" s="18" t="s">
        <v>795</v>
      </c>
      <c r="D14" s="18" t="s">
        <v>97</v>
      </c>
      <c r="E14" s="18" t="s">
        <v>796</v>
      </c>
      <c r="F14" s="18" t="s">
        <v>797</v>
      </c>
      <c r="G14" s="18" t="s">
        <v>559</v>
      </c>
      <c r="H14" s="18" t="s">
        <v>339</v>
      </c>
      <c r="I14" s="18" t="s">
        <v>713</v>
      </c>
      <c r="J14" s="66">
        <f>IF($C$4="","",$C$4+0)</f>
        <v>46272</v>
      </c>
      <c r="K14" s="66">
        <f>IF($C$4="","",$C$4+1)</f>
        <v>46273</v>
      </c>
      <c r="L14" s="66">
        <f>IF($C$4="","",$C$4+2)</f>
        <v>46274</v>
      </c>
      <c r="M14" s="66">
        <f>IF($C$4="","",$C$4+3)</f>
        <v>46275</v>
      </c>
      <c r="N14" s="66">
        <f>IF($C$4="","",$C$4+4)</f>
        <v>46276</v>
      </c>
      <c r="O14" s="66">
        <f>IF($C$4="","",$C$4+5)</f>
        <v>46277</v>
      </c>
      <c r="P14" s="66">
        <f>IF($C$4="","",$C$4+6)</f>
        <v>46278</v>
      </c>
      <c r="Q14" s="66">
        <f>IF($C$4="","",$C$4+7)</f>
        <v>46279</v>
      </c>
      <c r="R14" s="66">
        <f>IF($C$4="","",$C$4+8)</f>
        <v>46280</v>
      </c>
      <c r="S14" s="66">
        <f>IF($C$4="","",$C$4+9)</f>
        <v>46281</v>
      </c>
      <c r="T14" s="66">
        <f>IF($C$4="","",$C$4+10)</f>
        <v>46282</v>
      </c>
      <c r="U14" s="66">
        <f>IF($C$4="","",$C$4+11)</f>
        <v>46283</v>
      </c>
      <c r="V14" s="66">
        <f>IF($C$4="","",$C$4+12)</f>
        <v>46284</v>
      </c>
      <c r="W14" s="66">
        <f>IF($C$4="","",$C$4+13)</f>
        <v>46285</v>
      </c>
      <c r="X14" s="66">
        <f>IF($C$4="","",$C$4+14)</f>
        <v>46286</v>
      </c>
      <c r="Y14" s="66">
        <f>IF($C$4="","",$C$4+15)</f>
        <v>46287</v>
      </c>
      <c r="Z14" s="66">
        <f>IF($C$4="","",$C$4+16)</f>
        <v>46288</v>
      </c>
      <c r="AA14" s="66">
        <f>IF($C$4="","",$C$4+17)</f>
        <v>46289</v>
      </c>
      <c r="AB14" s="66">
        <f>IF($C$4="","",$C$4+18)</f>
        <v>46290</v>
      </c>
      <c r="AC14" s="66">
        <f>IF($C$4="","",$C$4+19)</f>
        <v>46291</v>
      </c>
      <c r="AD14" s="66">
        <f>IF($C$4="","",$C$4+20)</f>
        <v>46292</v>
      </c>
      <c r="AE14" s="66">
        <f>IF($C$4="","",$C$4+21)</f>
        <v>46293</v>
      </c>
      <c r="AF14" s="66">
        <f>IF($C$4="","",$C$4+22)</f>
        <v>46294</v>
      </c>
      <c r="AG14" s="66">
        <f>IF($C$4="","",$C$4+23)</f>
        <v>46295</v>
      </c>
      <c r="AH14" s="66">
        <f>IF($C$4="","",$C$4+24)</f>
        <v>46296</v>
      </c>
      <c r="AI14" s="66">
        <f>IF($C$4="","",$C$4+25)</f>
        <v>46297</v>
      </c>
      <c r="AJ14" s="66">
        <f>IF($C$4="","",$C$4+26)</f>
        <v>46298</v>
      </c>
      <c r="AK14" s="18" t="s">
        <v>799</v>
      </c>
    </row>
    <row r="15" ht="30.75" customHeight="1">
      <c r="A15" s="16">
        <v>1.0</v>
      </c>
      <c r="B15" s="6" t="s">
        <v>805</v>
      </c>
      <c r="C15" s="6" t="s">
        <v>587</v>
      </c>
      <c r="D15" s="6" t="s">
        <v>39</v>
      </c>
      <c r="E15" s="8">
        <v>5.0</v>
      </c>
      <c r="F15" s="67"/>
      <c r="G15" s="68">
        <v>46272.0</v>
      </c>
      <c r="H15" s="16" t="s">
        <v>375</v>
      </c>
      <c r="I15" s="71">
        <v>46277.0</v>
      </c>
      <c r="J15" s="16" t="str">
        <f t="shared" ref="J15:AJ15" si="1">IF($I15=J$14,"✔","")</f>
        <v/>
      </c>
      <c r="K15" s="16" t="str">
        <f t="shared" si="1"/>
        <v/>
      </c>
      <c r="L15" s="16" t="str">
        <f t="shared" si="1"/>
        <v/>
      </c>
      <c r="M15" s="16" t="str">
        <f t="shared" si="1"/>
        <v/>
      </c>
      <c r="N15" s="16" t="str">
        <f t="shared" si="1"/>
        <v/>
      </c>
      <c r="O15" s="16" t="str">
        <f t="shared" si="1"/>
        <v>✔</v>
      </c>
      <c r="P15" s="16" t="str">
        <f t="shared" si="1"/>
        <v/>
      </c>
      <c r="Q15" s="16" t="str">
        <f t="shared" si="1"/>
        <v/>
      </c>
      <c r="R15" s="16" t="str">
        <f t="shared" si="1"/>
        <v/>
      </c>
      <c r="S15" s="16" t="str">
        <f t="shared" si="1"/>
        <v/>
      </c>
      <c r="T15" s="16" t="str">
        <f t="shared" si="1"/>
        <v/>
      </c>
      <c r="U15" s="16" t="str">
        <f t="shared" si="1"/>
        <v/>
      </c>
      <c r="V15" s="16" t="str">
        <f t="shared" si="1"/>
        <v/>
      </c>
      <c r="W15" s="16" t="str">
        <f t="shared" si="1"/>
        <v/>
      </c>
      <c r="X15" s="16" t="str">
        <f t="shared" si="1"/>
        <v/>
      </c>
      <c r="Y15" s="16" t="str">
        <f t="shared" si="1"/>
        <v/>
      </c>
      <c r="Z15" s="16" t="str">
        <f t="shared" si="1"/>
        <v/>
      </c>
      <c r="AA15" s="16" t="str">
        <f t="shared" si="1"/>
        <v/>
      </c>
      <c r="AB15" s="16" t="str">
        <f t="shared" si="1"/>
        <v/>
      </c>
      <c r="AC15" s="16" t="str">
        <f t="shared" si="1"/>
        <v/>
      </c>
      <c r="AD15" s="16" t="str">
        <f t="shared" si="1"/>
        <v/>
      </c>
      <c r="AE15" s="16" t="str">
        <f t="shared" si="1"/>
        <v/>
      </c>
      <c r="AF15" s="16" t="str">
        <f t="shared" si="1"/>
        <v/>
      </c>
      <c r="AG15" s="16" t="str">
        <f t="shared" si="1"/>
        <v/>
      </c>
      <c r="AH15" s="16" t="str">
        <f t="shared" si="1"/>
        <v/>
      </c>
      <c r="AI15" s="16" t="str">
        <f t="shared" si="1"/>
        <v/>
      </c>
      <c r="AJ15" s="16" t="str">
        <f t="shared" si="1"/>
        <v/>
      </c>
      <c r="AK15" s="69" t="s">
        <v>802</v>
      </c>
    </row>
    <row r="16" ht="17.25" customHeight="1">
      <c r="A16" s="24">
        <v>2.0</v>
      </c>
      <c r="B16" s="11" t="s">
        <v>808</v>
      </c>
      <c r="C16" s="11" t="s">
        <v>809</v>
      </c>
      <c r="D16" s="11" t="s">
        <v>39</v>
      </c>
      <c r="E16" s="13">
        <v>5.0</v>
      </c>
      <c r="F16" s="67"/>
      <c r="G16" s="70">
        <v>46272.0</v>
      </c>
      <c r="H16" s="24" t="s">
        <v>375</v>
      </c>
      <c r="I16" s="71">
        <v>46282.0</v>
      </c>
      <c r="J16" s="24" t="str">
        <f t="shared" ref="J16:AJ16" si="2">IF($I16=J$14,"✔","")</f>
        <v/>
      </c>
      <c r="K16" s="24" t="str">
        <f t="shared" si="2"/>
        <v/>
      </c>
      <c r="L16" s="24" t="str">
        <f t="shared" si="2"/>
        <v/>
      </c>
      <c r="M16" s="24" t="str">
        <f t="shared" si="2"/>
        <v/>
      </c>
      <c r="N16" s="24" t="str">
        <f t="shared" si="2"/>
        <v/>
      </c>
      <c r="O16" s="24" t="str">
        <f t="shared" si="2"/>
        <v/>
      </c>
      <c r="P16" s="24" t="str">
        <f t="shared" si="2"/>
        <v/>
      </c>
      <c r="Q16" s="24" t="str">
        <f t="shared" si="2"/>
        <v/>
      </c>
      <c r="R16" s="24" t="str">
        <f t="shared" si="2"/>
        <v/>
      </c>
      <c r="S16" s="24" t="str">
        <f t="shared" si="2"/>
        <v/>
      </c>
      <c r="T16" s="24" t="str">
        <f t="shared" si="2"/>
        <v>✔</v>
      </c>
      <c r="U16" s="24" t="str">
        <f t="shared" si="2"/>
        <v/>
      </c>
      <c r="V16" s="24" t="str">
        <f t="shared" si="2"/>
        <v/>
      </c>
      <c r="W16" s="24" t="str">
        <f t="shared" si="2"/>
        <v/>
      </c>
      <c r="X16" s="24" t="str">
        <f t="shared" si="2"/>
        <v/>
      </c>
      <c r="Y16" s="24" t="str">
        <f t="shared" si="2"/>
        <v/>
      </c>
      <c r="Z16" s="24" t="str">
        <f t="shared" si="2"/>
        <v/>
      </c>
      <c r="AA16" s="24" t="str">
        <f t="shared" si="2"/>
        <v/>
      </c>
      <c r="AB16" s="24" t="str">
        <f t="shared" si="2"/>
        <v/>
      </c>
      <c r="AC16" s="24" t="str">
        <f t="shared" si="2"/>
        <v/>
      </c>
      <c r="AD16" s="24" t="str">
        <f t="shared" si="2"/>
        <v/>
      </c>
      <c r="AE16" s="24" t="str">
        <f t="shared" si="2"/>
        <v/>
      </c>
      <c r="AF16" s="24" t="str">
        <f t="shared" si="2"/>
        <v/>
      </c>
      <c r="AG16" s="24" t="str">
        <f t="shared" si="2"/>
        <v/>
      </c>
      <c r="AH16" s="24" t="str">
        <f t="shared" si="2"/>
        <v/>
      </c>
      <c r="AI16" s="24" t="str">
        <f t="shared" si="2"/>
        <v/>
      </c>
      <c r="AJ16" s="24" t="str">
        <f t="shared" si="2"/>
        <v/>
      </c>
      <c r="AK16" s="69" t="s">
        <v>802</v>
      </c>
    </row>
    <row r="17" ht="17.25" customHeight="1">
      <c r="A17" s="16">
        <v>3.0</v>
      </c>
      <c r="B17" s="6" t="s">
        <v>812</v>
      </c>
      <c r="C17" s="6" t="s">
        <v>587</v>
      </c>
      <c r="D17" s="6" t="s">
        <v>39</v>
      </c>
      <c r="E17" s="8">
        <v>4.0</v>
      </c>
      <c r="F17" s="67"/>
      <c r="G17" s="68">
        <v>46272.0</v>
      </c>
      <c r="H17" s="16" t="s">
        <v>375</v>
      </c>
      <c r="I17" s="71">
        <v>46286.0</v>
      </c>
      <c r="J17" s="16" t="str">
        <f t="shared" ref="J17:AJ17" si="3">IF($I17=J$14,"✔","")</f>
        <v/>
      </c>
      <c r="K17" s="16" t="str">
        <f t="shared" si="3"/>
        <v/>
      </c>
      <c r="L17" s="16" t="str">
        <f t="shared" si="3"/>
        <v/>
      </c>
      <c r="M17" s="16" t="str">
        <f t="shared" si="3"/>
        <v/>
      </c>
      <c r="N17" s="16" t="str">
        <f t="shared" si="3"/>
        <v/>
      </c>
      <c r="O17" s="16" t="str">
        <f t="shared" si="3"/>
        <v/>
      </c>
      <c r="P17" s="16" t="str">
        <f t="shared" si="3"/>
        <v/>
      </c>
      <c r="Q17" s="16" t="str">
        <f t="shared" si="3"/>
        <v/>
      </c>
      <c r="R17" s="16" t="str">
        <f t="shared" si="3"/>
        <v/>
      </c>
      <c r="S17" s="16" t="str">
        <f t="shared" si="3"/>
        <v/>
      </c>
      <c r="T17" s="16" t="str">
        <f t="shared" si="3"/>
        <v/>
      </c>
      <c r="U17" s="16" t="str">
        <f t="shared" si="3"/>
        <v/>
      </c>
      <c r="V17" s="16" t="str">
        <f t="shared" si="3"/>
        <v/>
      </c>
      <c r="W17" s="16" t="str">
        <f t="shared" si="3"/>
        <v/>
      </c>
      <c r="X17" s="16" t="str">
        <f t="shared" si="3"/>
        <v>✔</v>
      </c>
      <c r="Y17" s="16" t="str">
        <f t="shared" si="3"/>
        <v/>
      </c>
      <c r="Z17" s="16" t="str">
        <f t="shared" si="3"/>
        <v/>
      </c>
      <c r="AA17" s="16" t="str">
        <f t="shared" si="3"/>
        <v/>
      </c>
      <c r="AB17" s="16" t="str">
        <f t="shared" si="3"/>
        <v/>
      </c>
      <c r="AC17" s="16" t="str">
        <f t="shared" si="3"/>
        <v/>
      </c>
      <c r="AD17" s="16" t="str">
        <f t="shared" si="3"/>
        <v/>
      </c>
      <c r="AE17" s="16" t="str">
        <f t="shared" si="3"/>
        <v/>
      </c>
      <c r="AF17" s="16" t="str">
        <f t="shared" si="3"/>
        <v/>
      </c>
      <c r="AG17" s="16" t="str">
        <f t="shared" si="3"/>
        <v/>
      </c>
      <c r="AH17" s="16" t="str">
        <f t="shared" si="3"/>
        <v/>
      </c>
      <c r="AI17" s="16" t="str">
        <f t="shared" si="3"/>
        <v/>
      </c>
      <c r="AJ17" s="16" t="str">
        <f t="shared" si="3"/>
        <v/>
      </c>
      <c r="AK17" s="69" t="s">
        <v>802</v>
      </c>
    </row>
    <row r="18" ht="17.25" customHeight="1">
      <c r="A18" s="24">
        <v>4.0</v>
      </c>
      <c r="B18" s="11" t="s">
        <v>814</v>
      </c>
      <c r="C18" s="11" t="s">
        <v>815</v>
      </c>
      <c r="D18" s="11" t="s">
        <v>39</v>
      </c>
      <c r="E18" s="13">
        <v>6.0</v>
      </c>
      <c r="F18" s="67"/>
      <c r="G18" s="70">
        <v>46272.0</v>
      </c>
      <c r="H18" s="24" t="s">
        <v>375</v>
      </c>
      <c r="I18" s="71">
        <v>46292.0</v>
      </c>
      <c r="J18" s="24" t="str">
        <f t="shared" ref="J18:AJ18" si="4">IF($I18=J$14,"✔","")</f>
        <v/>
      </c>
      <c r="K18" s="24" t="str">
        <f t="shared" si="4"/>
        <v/>
      </c>
      <c r="L18" s="24" t="str">
        <f t="shared" si="4"/>
        <v/>
      </c>
      <c r="M18" s="24" t="str">
        <f t="shared" si="4"/>
        <v/>
      </c>
      <c r="N18" s="24" t="str">
        <f t="shared" si="4"/>
        <v/>
      </c>
      <c r="O18" s="24" t="str">
        <f t="shared" si="4"/>
        <v/>
      </c>
      <c r="P18" s="24" t="str">
        <f t="shared" si="4"/>
        <v/>
      </c>
      <c r="Q18" s="24" t="str">
        <f t="shared" si="4"/>
        <v/>
      </c>
      <c r="R18" s="24" t="str">
        <f t="shared" si="4"/>
        <v/>
      </c>
      <c r="S18" s="24" t="str">
        <f t="shared" si="4"/>
        <v/>
      </c>
      <c r="T18" s="24" t="str">
        <f t="shared" si="4"/>
        <v/>
      </c>
      <c r="U18" s="24" t="str">
        <f t="shared" si="4"/>
        <v/>
      </c>
      <c r="V18" s="24" t="str">
        <f t="shared" si="4"/>
        <v/>
      </c>
      <c r="W18" s="24" t="str">
        <f t="shared" si="4"/>
        <v/>
      </c>
      <c r="X18" s="24" t="str">
        <f t="shared" si="4"/>
        <v/>
      </c>
      <c r="Y18" s="24" t="str">
        <f t="shared" si="4"/>
        <v/>
      </c>
      <c r="Z18" s="24" t="str">
        <f t="shared" si="4"/>
        <v/>
      </c>
      <c r="AA18" s="24" t="str">
        <f t="shared" si="4"/>
        <v/>
      </c>
      <c r="AB18" s="24" t="str">
        <f t="shared" si="4"/>
        <v/>
      </c>
      <c r="AC18" s="24" t="str">
        <f t="shared" si="4"/>
        <v/>
      </c>
      <c r="AD18" s="24" t="str">
        <f t="shared" si="4"/>
        <v>✔</v>
      </c>
      <c r="AE18" s="24" t="str">
        <f t="shared" si="4"/>
        <v/>
      </c>
      <c r="AF18" s="24" t="str">
        <f t="shared" si="4"/>
        <v/>
      </c>
      <c r="AG18" s="24" t="str">
        <f t="shared" si="4"/>
        <v/>
      </c>
      <c r="AH18" s="24" t="str">
        <f t="shared" si="4"/>
        <v/>
      </c>
      <c r="AI18" s="24" t="str">
        <f t="shared" si="4"/>
        <v/>
      </c>
      <c r="AJ18" s="24" t="str">
        <f t="shared" si="4"/>
        <v/>
      </c>
      <c r="AK18" s="69" t="s">
        <v>802</v>
      </c>
    </row>
    <row r="19" ht="17.25" customHeight="1">
      <c r="A19" s="16">
        <v>5.0</v>
      </c>
      <c r="B19" s="6" t="s">
        <v>819</v>
      </c>
      <c r="C19" s="6" t="s">
        <v>587</v>
      </c>
      <c r="D19" s="6" t="s">
        <v>39</v>
      </c>
      <c r="E19" s="8">
        <v>4.0</v>
      </c>
      <c r="F19" s="67"/>
      <c r="G19" s="68">
        <v>46272.0</v>
      </c>
      <c r="H19" s="16" t="s">
        <v>375</v>
      </c>
      <c r="I19" s="71">
        <v>46295.0</v>
      </c>
      <c r="J19" s="16" t="str">
        <f t="shared" ref="J19:AJ19" si="5">IF($I19=J$14,"✔","")</f>
        <v/>
      </c>
      <c r="K19" s="16" t="str">
        <f t="shared" si="5"/>
        <v/>
      </c>
      <c r="L19" s="16" t="str">
        <f t="shared" si="5"/>
        <v/>
      </c>
      <c r="M19" s="16" t="str">
        <f t="shared" si="5"/>
        <v/>
      </c>
      <c r="N19" s="16" t="str">
        <f t="shared" si="5"/>
        <v/>
      </c>
      <c r="O19" s="16" t="str">
        <f t="shared" si="5"/>
        <v/>
      </c>
      <c r="P19" s="16" t="str">
        <f t="shared" si="5"/>
        <v/>
      </c>
      <c r="Q19" s="16" t="str">
        <f t="shared" si="5"/>
        <v/>
      </c>
      <c r="R19" s="16" t="str">
        <f t="shared" si="5"/>
        <v/>
      </c>
      <c r="S19" s="16" t="str">
        <f t="shared" si="5"/>
        <v/>
      </c>
      <c r="T19" s="16" t="str">
        <f t="shared" si="5"/>
        <v/>
      </c>
      <c r="U19" s="16" t="str">
        <f t="shared" si="5"/>
        <v/>
      </c>
      <c r="V19" s="16" t="str">
        <f t="shared" si="5"/>
        <v/>
      </c>
      <c r="W19" s="16" t="str">
        <f t="shared" si="5"/>
        <v/>
      </c>
      <c r="X19" s="16" t="str">
        <f t="shared" si="5"/>
        <v/>
      </c>
      <c r="Y19" s="16" t="str">
        <f t="shared" si="5"/>
        <v/>
      </c>
      <c r="Z19" s="16" t="str">
        <f t="shared" si="5"/>
        <v/>
      </c>
      <c r="AA19" s="16" t="str">
        <f t="shared" si="5"/>
        <v/>
      </c>
      <c r="AB19" s="16" t="str">
        <f t="shared" si="5"/>
        <v/>
      </c>
      <c r="AC19" s="16" t="str">
        <f t="shared" si="5"/>
        <v/>
      </c>
      <c r="AD19" s="16" t="str">
        <f t="shared" si="5"/>
        <v/>
      </c>
      <c r="AE19" s="16" t="str">
        <f t="shared" si="5"/>
        <v/>
      </c>
      <c r="AF19" s="16" t="str">
        <f t="shared" si="5"/>
        <v/>
      </c>
      <c r="AG19" s="16" t="str">
        <f t="shared" si="5"/>
        <v>✔</v>
      </c>
      <c r="AH19" s="16" t="str">
        <f t="shared" si="5"/>
        <v/>
      </c>
      <c r="AI19" s="16" t="str">
        <f t="shared" si="5"/>
        <v/>
      </c>
      <c r="AJ19" s="16" t="str">
        <f t="shared" si="5"/>
        <v/>
      </c>
      <c r="AK19" s="69" t="s">
        <v>802</v>
      </c>
    </row>
    <row r="20" ht="17.25" customHeight="1">
      <c r="A20" s="24">
        <v>6.0</v>
      </c>
      <c r="B20" s="11" t="s">
        <v>823</v>
      </c>
      <c r="C20" s="11" t="s">
        <v>824</v>
      </c>
      <c r="D20" s="11" t="s">
        <v>39</v>
      </c>
      <c r="E20" s="13">
        <v>8.0</v>
      </c>
      <c r="F20" s="67">
        <v>7.0</v>
      </c>
      <c r="G20" s="70">
        <v>46272.0</v>
      </c>
      <c r="H20" s="24" t="s">
        <v>375</v>
      </c>
      <c r="I20" s="70">
        <v>46298.0</v>
      </c>
      <c r="J20" s="24" t="str">
        <f t="shared" ref="J20:AJ20" si="6">IF($I20=J$14,"✔","")</f>
        <v/>
      </c>
      <c r="K20" s="24" t="str">
        <f t="shared" si="6"/>
        <v/>
      </c>
      <c r="L20" s="24" t="str">
        <f t="shared" si="6"/>
        <v/>
      </c>
      <c r="M20" s="24" t="str">
        <f t="shared" si="6"/>
        <v/>
      </c>
      <c r="N20" s="24" t="str">
        <f t="shared" si="6"/>
        <v/>
      </c>
      <c r="O20" s="24" t="str">
        <f t="shared" si="6"/>
        <v/>
      </c>
      <c r="P20" s="24" t="str">
        <f t="shared" si="6"/>
        <v/>
      </c>
      <c r="Q20" s="24" t="str">
        <f t="shared" si="6"/>
        <v/>
      </c>
      <c r="R20" s="24" t="str">
        <f t="shared" si="6"/>
        <v/>
      </c>
      <c r="S20" s="24" t="str">
        <f t="shared" si="6"/>
        <v/>
      </c>
      <c r="T20" s="24" t="str">
        <f t="shared" si="6"/>
        <v/>
      </c>
      <c r="U20" s="24" t="str">
        <f t="shared" si="6"/>
        <v/>
      </c>
      <c r="V20" s="24" t="str">
        <f t="shared" si="6"/>
        <v/>
      </c>
      <c r="W20" s="24" t="str">
        <f t="shared" si="6"/>
        <v/>
      </c>
      <c r="X20" s="24" t="str">
        <f t="shared" si="6"/>
        <v/>
      </c>
      <c r="Y20" s="24" t="str">
        <f t="shared" si="6"/>
        <v/>
      </c>
      <c r="Z20" s="24" t="str">
        <f t="shared" si="6"/>
        <v/>
      </c>
      <c r="AA20" s="24" t="str">
        <f t="shared" si="6"/>
        <v/>
      </c>
      <c r="AB20" s="24" t="str">
        <f t="shared" si="6"/>
        <v/>
      </c>
      <c r="AC20" s="24" t="str">
        <f t="shared" si="6"/>
        <v/>
      </c>
      <c r="AD20" s="24" t="str">
        <f t="shared" si="6"/>
        <v/>
      </c>
      <c r="AE20" s="24" t="str">
        <f t="shared" si="6"/>
        <v/>
      </c>
      <c r="AF20" s="24" t="str">
        <f t="shared" si="6"/>
        <v/>
      </c>
      <c r="AG20" s="24" t="str">
        <f t="shared" si="6"/>
        <v/>
      </c>
      <c r="AH20" s="24" t="str">
        <f t="shared" si="6"/>
        <v/>
      </c>
      <c r="AI20" s="24" t="str">
        <f t="shared" si="6"/>
        <v/>
      </c>
      <c r="AJ20" s="24" t="str">
        <f t="shared" si="6"/>
        <v>✔</v>
      </c>
      <c r="AK20" s="16" t="s">
        <v>802</v>
      </c>
    </row>
    <row r="21" ht="30.75" customHeight="1">
      <c r="A21" s="16">
        <v>7.0</v>
      </c>
      <c r="B21" s="6" t="s">
        <v>828</v>
      </c>
      <c r="C21" s="6" t="s">
        <v>587</v>
      </c>
      <c r="D21" s="6" t="s">
        <v>39</v>
      </c>
      <c r="E21" s="8">
        <v>4.0</v>
      </c>
      <c r="F21" s="67"/>
      <c r="G21" s="68">
        <v>46272.0</v>
      </c>
      <c r="H21" s="16" t="s">
        <v>375</v>
      </c>
      <c r="I21" s="68">
        <v>46298.0</v>
      </c>
      <c r="J21" s="16" t="str">
        <f t="shared" ref="J21:AJ21" si="7">IF($I21=J$14,"✔","")</f>
        <v/>
      </c>
      <c r="K21" s="16" t="str">
        <f t="shared" si="7"/>
        <v/>
      </c>
      <c r="L21" s="16" t="str">
        <f t="shared" si="7"/>
        <v/>
      </c>
      <c r="M21" s="16" t="str">
        <f t="shared" si="7"/>
        <v/>
      </c>
      <c r="N21" s="16" t="str">
        <f t="shared" si="7"/>
        <v/>
      </c>
      <c r="O21" s="16" t="str">
        <f t="shared" si="7"/>
        <v/>
      </c>
      <c r="P21" s="16" t="str">
        <f t="shared" si="7"/>
        <v/>
      </c>
      <c r="Q21" s="16" t="str">
        <f t="shared" si="7"/>
        <v/>
      </c>
      <c r="R21" s="16" t="str">
        <f t="shared" si="7"/>
        <v/>
      </c>
      <c r="S21" s="16" t="str">
        <f t="shared" si="7"/>
        <v/>
      </c>
      <c r="T21" s="16" t="str">
        <f t="shared" si="7"/>
        <v/>
      </c>
      <c r="U21" s="16" t="str">
        <f t="shared" si="7"/>
        <v/>
      </c>
      <c r="V21" s="16" t="str">
        <f t="shared" si="7"/>
        <v/>
      </c>
      <c r="W21" s="16" t="str">
        <f t="shared" si="7"/>
        <v/>
      </c>
      <c r="X21" s="16" t="str">
        <f t="shared" si="7"/>
        <v/>
      </c>
      <c r="Y21" s="16" t="str">
        <f t="shared" si="7"/>
        <v/>
      </c>
      <c r="Z21" s="16" t="str">
        <f t="shared" si="7"/>
        <v/>
      </c>
      <c r="AA21" s="16" t="str">
        <f t="shared" si="7"/>
        <v/>
      </c>
      <c r="AB21" s="16" t="str">
        <f t="shared" si="7"/>
        <v/>
      </c>
      <c r="AC21" s="16" t="str">
        <f t="shared" si="7"/>
        <v/>
      </c>
      <c r="AD21" s="16" t="str">
        <f t="shared" si="7"/>
        <v/>
      </c>
      <c r="AE21" s="16" t="str">
        <f t="shared" si="7"/>
        <v/>
      </c>
      <c r="AF21" s="16" t="str">
        <f t="shared" si="7"/>
        <v/>
      </c>
      <c r="AG21" s="16" t="str">
        <f t="shared" si="7"/>
        <v/>
      </c>
      <c r="AH21" s="16" t="str">
        <f t="shared" si="7"/>
        <v/>
      </c>
      <c r="AI21" s="16" t="str">
        <f t="shared" si="7"/>
        <v/>
      </c>
      <c r="AJ21" s="16" t="str">
        <f t="shared" si="7"/>
        <v>✔</v>
      </c>
      <c r="AK21" s="69" t="s">
        <v>802</v>
      </c>
    </row>
    <row r="22" ht="15.75" customHeight="1">
      <c r="A22" s="74"/>
      <c r="B22" s="74" t="s">
        <v>260</v>
      </c>
      <c r="C22" s="74"/>
      <c r="D22" s="74"/>
      <c r="E22" s="75">
        <f t="shared" ref="E22:F22" si="8">SUM(E15:E21)</f>
        <v>36</v>
      </c>
      <c r="F22" s="75">
        <f t="shared" si="8"/>
        <v>7</v>
      </c>
      <c r="G22" s="74"/>
      <c r="H22" s="75" t="str">
        <f>COUNTIF(H15:H21,"Hecho")&amp;" hechas"</f>
        <v>7 hechas</v>
      </c>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row>
    <row r="23" ht="15.75" customHeight="1"/>
    <row r="24" ht="18.0" customHeight="1">
      <c r="A24" s="27" t="s">
        <v>830</v>
      </c>
    </row>
    <row r="25" ht="27.75" customHeight="1">
      <c r="A25" s="76" t="s">
        <v>834</v>
      </c>
      <c r="B25" s="76" t="s">
        <v>836</v>
      </c>
      <c r="C25" s="76" t="s">
        <v>837</v>
      </c>
      <c r="D25" s="76" t="s">
        <v>838</v>
      </c>
    </row>
    <row r="26" ht="15.75" customHeight="1">
      <c r="A26" s="78">
        <v>0.0</v>
      </c>
      <c r="B26" s="78" t="s">
        <v>840</v>
      </c>
      <c r="C26" s="78">
        <f t="shared" ref="C26:C53" si="9">IF($C$10=0,"",ROUND($C$10-$C$10*A26/27,1))</f>
        <v>7</v>
      </c>
      <c r="D26" s="78">
        <v>7.0</v>
      </c>
    </row>
    <row r="27" ht="15.75" customHeight="1">
      <c r="A27" s="78">
        <v>1.0</v>
      </c>
      <c r="B27" s="78" t="s">
        <v>884</v>
      </c>
      <c r="C27" s="78">
        <f t="shared" si="9"/>
        <v>6.7</v>
      </c>
      <c r="D27" s="78">
        <v>7.0</v>
      </c>
    </row>
    <row r="28" ht="15.75" customHeight="1">
      <c r="A28" s="78">
        <v>2.0</v>
      </c>
      <c r="B28" s="78" t="s">
        <v>886</v>
      </c>
      <c r="C28" s="78">
        <f t="shared" si="9"/>
        <v>6.5</v>
      </c>
      <c r="D28" s="78">
        <v>7.0</v>
      </c>
    </row>
    <row r="29" ht="15.75" customHeight="1">
      <c r="A29" s="78">
        <v>3.0</v>
      </c>
      <c r="B29" s="78" t="s">
        <v>888</v>
      </c>
      <c r="C29" s="78">
        <f t="shared" si="9"/>
        <v>6.2</v>
      </c>
      <c r="D29" s="78">
        <v>7.0</v>
      </c>
    </row>
    <row r="30" ht="15.75" customHeight="1">
      <c r="A30" s="78">
        <v>4.0</v>
      </c>
      <c r="B30" s="78" t="s">
        <v>890</v>
      </c>
      <c r="C30" s="78">
        <f t="shared" si="9"/>
        <v>6</v>
      </c>
      <c r="D30" s="78">
        <v>7.0</v>
      </c>
    </row>
    <row r="31" ht="15.75" customHeight="1">
      <c r="A31" s="78">
        <v>5.0</v>
      </c>
      <c r="B31" s="78" t="s">
        <v>893</v>
      </c>
      <c r="C31" s="78">
        <f t="shared" si="9"/>
        <v>5.7</v>
      </c>
      <c r="D31" s="78">
        <v>7.0</v>
      </c>
    </row>
    <row r="32" ht="15.75" customHeight="1">
      <c r="A32" s="78">
        <v>6.0</v>
      </c>
      <c r="B32" s="78" t="s">
        <v>894</v>
      </c>
      <c r="C32" s="78">
        <f t="shared" si="9"/>
        <v>5.4</v>
      </c>
      <c r="D32" s="78">
        <v>6.0</v>
      </c>
    </row>
    <row r="33" ht="15.75" customHeight="1">
      <c r="A33" s="78">
        <v>7.0</v>
      </c>
      <c r="B33" s="78" t="s">
        <v>896</v>
      </c>
      <c r="C33" s="78">
        <f t="shared" si="9"/>
        <v>5.2</v>
      </c>
      <c r="D33" s="78">
        <v>6.0</v>
      </c>
    </row>
    <row r="34" ht="15.75" customHeight="1">
      <c r="A34" s="78">
        <v>8.0</v>
      </c>
      <c r="B34" s="78" t="s">
        <v>899</v>
      </c>
      <c r="C34" s="78">
        <f t="shared" si="9"/>
        <v>4.9</v>
      </c>
      <c r="D34" s="78">
        <v>6.0</v>
      </c>
    </row>
    <row r="35" ht="15.75" customHeight="1">
      <c r="A35" s="78">
        <v>9.0</v>
      </c>
      <c r="B35" s="78" t="s">
        <v>901</v>
      </c>
      <c r="C35" s="78">
        <f t="shared" si="9"/>
        <v>4.7</v>
      </c>
      <c r="D35" s="78">
        <v>6.0</v>
      </c>
    </row>
    <row r="36" ht="15.75" customHeight="1">
      <c r="A36" s="78">
        <v>10.0</v>
      </c>
      <c r="B36" s="78" t="s">
        <v>903</v>
      </c>
      <c r="C36" s="78">
        <f t="shared" si="9"/>
        <v>4.4</v>
      </c>
      <c r="D36" s="78">
        <v>6.0</v>
      </c>
    </row>
    <row r="37" ht="15.75" customHeight="1">
      <c r="A37" s="78">
        <v>11.0</v>
      </c>
      <c r="B37" s="78" t="s">
        <v>905</v>
      </c>
      <c r="C37" s="78">
        <f t="shared" si="9"/>
        <v>4.1</v>
      </c>
      <c r="D37" s="78">
        <v>5.0</v>
      </c>
    </row>
    <row r="38" ht="15.75" customHeight="1">
      <c r="A38" s="78">
        <v>12.0</v>
      </c>
      <c r="B38" s="78" t="s">
        <v>907</v>
      </c>
      <c r="C38" s="78">
        <f t="shared" si="9"/>
        <v>3.9</v>
      </c>
      <c r="D38" s="78">
        <v>5.0</v>
      </c>
    </row>
    <row r="39" ht="15.75" customHeight="1">
      <c r="A39" s="78">
        <v>13.0</v>
      </c>
      <c r="B39" s="78" t="s">
        <v>908</v>
      </c>
      <c r="C39" s="78">
        <f t="shared" si="9"/>
        <v>3.6</v>
      </c>
      <c r="D39" s="78">
        <v>5.0</v>
      </c>
    </row>
    <row r="40" ht="15.75" customHeight="1">
      <c r="A40" s="78">
        <v>14.0</v>
      </c>
      <c r="B40" s="78" t="s">
        <v>910</v>
      </c>
      <c r="C40" s="78">
        <f t="shared" si="9"/>
        <v>3.4</v>
      </c>
      <c r="D40" s="78">
        <v>5.0</v>
      </c>
    </row>
    <row r="41" ht="15.75" customHeight="1">
      <c r="A41" s="78">
        <v>15.0</v>
      </c>
      <c r="B41" s="78" t="s">
        <v>912</v>
      </c>
      <c r="C41" s="78">
        <f t="shared" si="9"/>
        <v>3.1</v>
      </c>
      <c r="D41" s="78">
        <v>4.0</v>
      </c>
    </row>
    <row r="42" ht="15.75" customHeight="1">
      <c r="A42" s="78">
        <v>16.0</v>
      </c>
      <c r="B42" s="78" t="s">
        <v>914</v>
      </c>
      <c r="C42" s="78">
        <f t="shared" si="9"/>
        <v>2.9</v>
      </c>
      <c r="D42" s="78">
        <v>4.0</v>
      </c>
    </row>
    <row r="43" ht="15.75" customHeight="1">
      <c r="A43" s="78">
        <v>17.0</v>
      </c>
      <c r="B43" s="78" t="s">
        <v>916</v>
      </c>
      <c r="C43" s="78">
        <f t="shared" si="9"/>
        <v>2.6</v>
      </c>
      <c r="D43" s="78">
        <v>4.0</v>
      </c>
    </row>
    <row r="44" ht="15.75" customHeight="1">
      <c r="A44" s="78">
        <v>18.0</v>
      </c>
      <c r="B44" s="78" t="s">
        <v>862</v>
      </c>
      <c r="C44" s="78">
        <f t="shared" si="9"/>
        <v>2.3</v>
      </c>
      <c r="D44" s="78">
        <v>4.0</v>
      </c>
    </row>
    <row r="45" ht="15.75" customHeight="1">
      <c r="A45" s="78">
        <v>19.0</v>
      </c>
      <c r="B45" s="78" t="s">
        <v>869</v>
      </c>
      <c r="C45" s="78">
        <f t="shared" si="9"/>
        <v>2.1</v>
      </c>
      <c r="D45" s="78">
        <v>4.0</v>
      </c>
    </row>
    <row r="46" ht="15.75" customHeight="1">
      <c r="A46" s="78">
        <v>20.0</v>
      </c>
      <c r="B46" s="78" t="s">
        <v>873</v>
      </c>
      <c r="C46" s="78">
        <f t="shared" si="9"/>
        <v>1.8</v>
      </c>
      <c r="D46" s="78">
        <v>4.0</v>
      </c>
    </row>
    <row r="47" ht="15.75" customHeight="1">
      <c r="A47" s="78">
        <v>21.0</v>
      </c>
      <c r="B47" s="78" t="s">
        <v>875</v>
      </c>
      <c r="C47" s="78">
        <f t="shared" si="9"/>
        <v>1.6</v>
      </c>
      <c r="D47" s="78">
        <v>3.0</v>
      </c>
    </row>
    <row r="48" ht="15.75" customHeight="1">
      <c r="A48" s="78">
        <v>22.0</v>
      </c>
      <c r="B48" s="78" t="s">
        <v>876</v>
      </c>
      <c r="C48" s="78">
        <f t="shared" si="9"/>
        <v>1.3</v>
      </c>
      <c r="D48" s="78">
        <v>3.0</v>
      </c>
    </row>
    <row r="49" ht="15.75" customHeight="1">
      <c r="A49" s="78">
        <v>23.0</v>
      </c>
      <c r="B49" s="78" t="s">
        <v>877</v>
      </c>
      <c r="C49" s="78">
        <f t="shared" si="9"/>
        <v>1</v>
      </c>
      <c r="D49" s="78">
        <v>3.0</v>
      </c>
    </row>
    <row r="50" ht="15.75" customHeight="1">
      <c r="A50" s="78">
        <v>24.0</v>
      </c>
      <c r="B50" s="78" t="s">
        <v>878</v>
      </c>
      <c r="C50" s="78">
        <f t="shared" si="9"/>
        <v>0.8</v>
      </c>
      <c r="D50" s="78">
        <v>2.0</v>
      </c>
    </row>
    <row r="51" ht="15.75" customHeight="1">
      <c r="A51" s="78">
        <v>25.0</v>
      </c>
      <c r="B51" s="78" t="s">
        <v>879</v>
      </c>
      <c r="C51" s="78">
        <f t="shared" si="9"/>
        <v>0.5</v>
      </c>
      <c r="D51" s="78">
        <v>2.0</v>
      </c>
    </row>
    <row r="52" ht="15.75" customHeight="1">
      <c r="A52" s="78">
        <v>26.0</v>
      </c>
      <c r="B52" s="78" t="s">
        <v>880</v>
      </c>
      <c r="C52" s="78">
        <f t="shared" si="9"/>
        <v>0.3</v>
      </c>
      <c r="D52" s="78">
        <v>2.0</v>
      </c>
    </row>
    <row r="53" ht="15.75" customHeight="1">
      <c r="A53" s="78">
        <v>27.0</v>
      </c>
      <c r="B53" s="78" t="s">
        <v>881</v>
      </c>
      <c r="C53" s="78">
        <f t="shared" si="9"/>
        <v>0</v>
      </c>
      <c r="D53" s="78">
        <v>0.0</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3:AK3"/>
    <mergeCell ref="C6:AK6"/>
    <mergeCell ref="C7:AK7"/>
    <mergeCell ref="A13:I13"/>
    <mergeCell ref="J13:AJ13"/>
  </mergeCells>
  <conditionalFormatting sqref="H15:H21">
    <cfRule type="expression" dxfId="0" priority="1">
      <formula>H15="Hecho"</formula>
    </cfRule>
  </conditionalFormatting>
  <conditionalFormatting sqref="H15:H21">
    <cfRule type="expression" dxfId="0" priority="2">
      <formula>H15="Aprobado"</formula>
    </cfRule>
  </conditionalFormatting>
  <conditionalFormatting sqref="H15:H21">
    <cfRule type="expression" dxfId="0" priority="3">
      <formula>H15="Cerrado"</formula>
    </cfRule>
  </conditionalFormatting>
  <conditionalFormatting sqref="H15:H21">
    <cfRule type="expression" dxfId="0" priority="4">
      <formula>H15="Implementado"</formula>
    </cfRule>
  </conditionalFormatting>
  <conditionalFormatting sqref="H15:H21">
    <cfRule type="expression" dxfId="0" priority="5">
      <formula>H15="Terminado"</formula>
    </cfRule>
  </conditionalFormatting>
  <conditionalFormatting sqref="H15:H21">
    <cfRule type="expression" dxfId="0" priority="6">
      <formula>H15="Aplicado"</formula>
    </cfRule>
  </conditionalFormatting>
  <conditionalFormatting sqref="H15:H21">
    <cfRule type="expression" dxfId="0" priority="7">
      <formula>H15="A"</formula>
    </cfRule>
  </conditionalFormatting>
  <conditionalFormatting sqref="H15:H21">
    <cfRule type="expression" dxfId="1" priority="8">
      <formula>H15="En curso"</formula>
    </cfRule>
  </conditionalFormatting>
  <conditionalFormatting sqref="H15:H21">
    <cfRule type="expression" dxfId="1" priority="9">
      <formula>H15="Pendiente"</formula>
    </cfRule>
  </conditionalFormatting>
  <conditionalFormatting sqref="H15:H21">
    <cfRule type="expression" dxfId="1" priority="10">
      <formula>H15="Corregido"</formula>
    </cfRule>
  </conditionalFormatting>
  <conditionalFormatting sqref="H15:H21">
    <cfRule type="expression" dxfId="1" priority="11">
      <formula>H15="En desarrollo"</formula>
    </cfRule>
  </conditionalFormatting>
  <conditionalFormatting sqref="H15:H21">
    <cfRule type="expression" dxfId="1" priority="12">
      <formula>H15="En evaluación"</formula>
    </cfRule>
  </conditionalFormatting>
  <conditionalFormatting sqref="H15:H21">
    <cfRule type="expression" dxfId="1" priority="13">
      <formula>H15="En ejecución"</formula>
    </cfRule>
  </conditionalFormatting>
  <conditionalFormatting sqref="H15:H21">
    <cfRule type="expression" dxfId="1" priority="14">
      <formula>H15="Prueba de concepto"</formula>
    </cfRule>
  </conditionalFormatting>
  <conditionalFormatting sqref="H15:H21">
    <cfRule type="expression" dxfId="2" priority="15">
      <formula>H15="Por hacer"</formula>
    </cfRule>
  </conditionalFormatting>
  <conditionalFormatting sqref="H15:H21">
    <cfRule type="expression" dxfId="2" priority="16">
      <formula>H15="Planificado"</formula>
    </cfRule>
  </conditionalFormatting>
  <conditionalFormatting sqref="H15:H21">
    <cfRule type="expression" dxfId="2" priority="17">
      <formula>H15="Diseñado"</formula>
    </cfRule>
  </conditionalFormatting>
  <conditionalFormatting sqref="H15:H21">
    <cfRule type="expression" dxfId="3" priority="18">
      <formula>H15="Fallido"</formula>
    </cfRule>
  </conditionalFormatting>
  <conditionalFormatting sqref="H15:H21">
    <cfRule type="expression" dxfId="3" priority="19">
      <formula>H15="Abierto"</formula>
    </cfRule>
  </conditionalFormatting>
  <conditionalFormatting sqref="H15:H21">
    <cfRule type="expression" dxfId="3" priority="20">
      <formula>H15="R"</formula>
    </cfRule>
  </conditionalFormatting>
  <conditionalFormatting sqref="H15:H21">
    <cfRule type="expression" dxfId="4" priority="21">
      <formula>H15="Anulado"</formula>
    </cfRule>
  </conditionalFormatting>
  <conditionalFormatting sqref="H15:H21">
    <cfRule type="expression" dxfId="4" priority="22">
      <formula>H15="Descartada"</formula>
    </cfRule>
  </conditionalFormatting>
  <conditionalFormatting sqref="H15:H21">
    <cfRule type="expression" dxfId="4" priority="23">
      <formula>H15="No aplica"</formula>
    </cfRule>
  </conditionalFormatting>
  <conditionalFormatting sqref="AK15:AK21">
    <cfRule type="expression" dxfId="0" priority="24">
      <formula>AK15="Hecho"</formula>
    </cfRule>
  </conditionalFormatting>
  <conditionalFormatting sqref="AK15:AK21">
    <cfRule type="expression" dxfId="0" priority="25">
      <formula>AK15="Aprobado"</formula>
    </cfRule>
  </conditionalFormatting>
  <conditionalFormatting sqref="AK15:AK21">
    <cfRule type="expression" dxfId="0" priority="26">
      <formula>AK15="Cerrado"</formula>
    </cfRule>
  </conditionalFormatting>
  <conditionalFormatting sqref="AK15:AK21">
    <cfRule type="expression" dxfId="0" priority="27">
      <formula>AK15="Implementado"</formula>
    </cfRule>
  </conditionalFormatting>
  <conditionalFormatting sqref="AK15:AK21">
    <cfRule type="expression" dxfId="0" priority="28">
      <formula>AK15="Terminado"</formula>
    </cfRule>
  </conditionalFormatting>
  <conditionalFormatting sqref="AK15:AK21">
    <cfRule type="expression" dxfId="0" priority="29">
      <formula>AK15="Aplicado"</formula>
    </cfRule>
  </conditionalFormatting>
  <conditionalFormatting sqref="AK15:AK21">
    <cfRule type="expression" dxfId="0" priority="30">
      <formula>AK15="A"</formula>
    </cfRule>
  </conditionalFormatting>
  <conditionalFormatting sqref="AK15:AK21">
    <cfRule type="expression" dxfId="1" priority="31">
      <formula>AK15="En curso"</formula>
    </cfRule>
  </conditionalFormatting>
  <conditionalFormatting sqref="AK15:AK21">
    <cfRule type="expression" dxfId="1" priority="32">
      <formula>AK15="Pendiente"</formula>
    </cfRule>
  </conditionalFormatting>
  <conditionalFormatting sqref="AK15:AK21">
    <cfRule type="expression" dxfId="1" priority="33">
      <formula>AK15="Corregido"</formula>
    </cfRule>
  </conditionalFormatting>
  <conditionalFormatting sqref="AK15:AK21">
    <cfRule type="expression" dxfId="1" priority="34">
      <formula>AK15="En desarrollo"</formula>
    </cfRule>
  </conditionalFormatting>
  <conditionalFormatting sqref="AK15:AK21">
    <cfRule type="expression" dxfId="1" priority="35">
      <formula>AK15="En evaluación"</formula>
    </cfRule>
  </conditionalFormatting>
  <conditionalFormatting sqref="AK15:AK21">
    <cfRule type="expression" dxfId="1" priority="36">
      <formula>AK15="En ejecución"</formula>
    </cfRule>
  </conditionalFormatting>
  <conditionalFormatting sqref="AK15:AK21">
    <cfRule type="expression" dxfId="1" priority="37">
      <formula>AK15="Prueba de concepto"</formula>
    </cfRule>
  </conditionalFormatting>
  <conditionalFormatting sqref="AK15:AK21">
    <cfRule type="expression" dxfId="2" priority="38">
      <formula>AK15="Por hacer"</formula>
    </cfRule>
  </conditionalFormatting>
  <conditionalFormatting sqref="AK15:AK21">
    <cfRule type="expression" dxfId="2" priority="39">
      <formula>AK15="Planificado"</formula>
    </cfRule>
  </conditionalFormatting>
  <conditionalFormatting sqref="AK15:AK21">
    <cfRule type="expression" dxfId="2" priority="40">
      <formula>AK15="Diseñado"</formula>
    </cfRule>
  </conditionalFormatting>
  <conditionalFormatting sqref="AK15:AK21">
    <cfRule type="expression" dxfId="3" priority="41">
      <formula>AK15="Fallido"</formula>
    </cfRule>
  </conditionalFormatting>
  <conditionalFormatting sqref="AK15:AK21">
    <cfRule type="expression" dxfId="3" priority="42">
      <formula>AK15="Abierto"</formula>
    </cfRule>
  </conditionalFormatting>
  <conditionalFormatting sqref="AK15:AK21">
    <cfRule type="expression" dxfId="3" priority="43">
      <formula>AK15="R"</formula>
    </cfRule>
  </conditionalFormatting>
  <conditionalFormatting sqref="AK15:AK21">
    <cfRule type="expression" dxfId="4" priority="44">
      <formula>AK15="Anulado"</formula>
    </cfRule>
  </conditionalFormatting>
  <conditionalFormatting sqref="AK15:AK21">
    <cfRule type="expression" dxfId="4" priority="45">
      <formula>AK15="Descartada"</formula>
    </cfRule>
  </conditionalFormatting>
  <conditionalFormatting sqref="AK15:AK21">
    <cfRule type="expression" dxfId="4" priority="46">
      <formula>AK15="No aplica"</formula>
    </cfRule>
  </conditionalFormatting>
  <conditionalFormatting sqref="J15:AJ21">
    <cfRule type="expression" dxfId="0" priority="47">
      <formula>J15="✔"</formula>
    </cfRule>
  </conditionalFormatting>
  <dataValidations>
    <dataValidation type="list" allowBlank="1" sqref="AK15:AK21">
      <formula1>"A,R"</formula1>
    </dataValidation>
    <dataValidation type="list" allowBlank="1" sqref="H15:H21">
      <formula1>"Por hacer,En curso,Hecho,Descartada"</formula1>
    </dataValidation>
  </dataValidations>
  <printOptions/>
  <pageMargins bottom="0.5" footer="0.0" header="0.0" left="0.4" right="0.4" top="0.5"/>
  <pageSetup fitToHeight="0"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2.0" ySplit="14.0" topLeftCell="C15" activePane="bottomRight" state="frozen"/>
      <selection activeCell="C1" sqref="C1" pane="topRight"/>
      <selection activeCell="A15" sqref="A15" pane="bottomLeft"/>
      <selection activeCell="C15" sqref="C15" pane="bottomRight"/>
    </sheetView>
  </sheetViews>
  <sheetFormatPr customHeight="1" defaultColWidth="14.43" defaultRowHeight="15.0"/>
  <cols>
    <col customWidth="1" min="1" max="1" width="5.0"/>
    <col customWidth="1" min="2" max="2" width="46.0"/>
    <col customWidth="1" min="3" max="4" width="17.0"/>
    <col customWidth="1" min="5" max="5" width="8.43"/>
    <col customWidth="1" min="6" max="7" width="7.0"/>
    <col customWidth="1" min="8" max="8" width="11.0"/>
    <col customWidth="1" min="9" max="9" width="8.0"/>
    <col customWidth="1" min="10" max="29" width="3.71"/>
    <col customWidth="1" min="30" max="30" width="7.0"/>
  </cols>
  <sheetData>
    <row r="1" ht="18.0" customHeight="1">
      <c r="A1" s="1" t="s">
        <v>776</v>
      </c>
    </row>
    <row r="2">
      <c r="A2" s="2"/>
    </row>
    <row r="3" ht="16.5" customHeight="1">
      <c r="B3" s="56" t="s">
        <v>733</v>
      </c>
      <c r="C3" s="57" t="s">
        <v>761</v>
      </c>
      <c r="D3" s="20"/>
      <c r="E3" s="20"/>
      <c r="F3" s="20"/>
      <c r="G3" s="20"/>
      <c r="H3" s="20"/>
      <c r="I3" s="20"/>
      <c r="J3" s="20"/>
      <c r="K3" s="20"/>
      <c r="L3" s="20"/>
      <c r="M3" s="20"/>
      <c r="N3" s="20"/>
      <c r="O3" s="20"/>
      <c r="P3" s="20"/>
      <c r="Q3" s="20"/>
      <c r="R3" s="20"/>
      <c r="S3" s="20"/>
      <c r="T3" s="20"/>
      <c r="U3" s="20"/>
      <c r="V3" s="20"/>
      <c r="W3" s="20"/>
      <c r="X3" s="20"/>
      <c r="Y3" s="20"/>
      <c r="Z3" s="20"/>
      <c r="AA3" s="20"/>
      <c r="AB3" s="20"/>
      <c r="AC3" s="20"/>
      <c r="AD3" s="21"/>
    </row>
    <row r="4" ht="16.5" customHeight="1">
      <c r="B4" s="56" t="s">
        <v>731</v>
      </c>
      <c r="C4" s="59">
        <v>46289.0</v>
      </c>
    </row>
    <row r="5" ht="16.5" customHeight="1">
      <c r="B5" s="56" t="s">
        <v>713</v>
      </c>
      <c r="C5" s="59">
        <f>IF(C4="","",C4+19)</f>
        <v>46308</v>
      </c>
    </row>
    <row r="6" ht="16.5" customHeight="1">
      <c r="B6" s="56" t="s">
        <v>781</v>
      </c>
      <c r="C6" s="60"/>
      <c r="D6" s="20"/>
      <c r="E6" s="20"/>
      <c r="F6" s="20"/>
      <c r="G6" s="20"/>
      <c r="H6" s="20"/>
      <c r="I6" s="20"/>
      <c r="J6" s="20"/>
      <c r="K6" s="20"/>
      <c r="L6" s="20"/>
      <c r="M6" s="20"/>
      <c r="N6" s="20"/>
      <c r="O6" s="20"/>
      <c r="P6" s="20"/>
      <c r="Q6" s="20"/>
      <c r="R6" s="20"/>
      <c r="S6" s="20"/>
      <c r="T6" s="20"/>
      <c r="U6" s="20"/>
      <c r="V6" s="20"/>
      <c r="W6" s="20"/>
      <c r="X6" s="20"/>
      <c r="Y6" s="20"/>
      <c r="Z6" s="20"/>
      <c r="AA6" s="20"/>
      <c r="AB6" s="20"/>
      <c r="AC6" s="20"/>
      <c r="AD6" s="21"/>
    </row>
    <row r="7" ht="16.5" customHeight="1">
      <c r="B7" s="56" t="s">
        <v>782</v>
      </c>
      <c r="C7" s="57" t="s">
        <v>783</v>
      </c>
      <c r="D7" s="20"/>
      <c r="E7" s="20"/>
      <c r="F7" s="20"/>
      <c r="G7" s="20"/>
      <c r="H7" s="20"/>
      <c r="I7" s="20"/>
      <c r="J7" s="20"/>
      <c r="K7" s="20"/>
      <c r="L7" s="20"/>
      <c r="M7" s="20"/>
      <c r="N7" s="20"/>
      <c r="O7" s="20"/>
      <c r="P7" s="20"/>
      <c r="Q7" s="20"/>
      <c r="R7" s="20"/>
      <c r="S7" s="20"/>
      <c r="T7" s="20"/>
      <c r="U7" s="20"/>
      <c r="V7" s="20"/>
      <c r="W7" s="20"/>
      <c r="X7" s="20"/>
      <c r="Y7" s="20"/>
      <c r="Z7" s="20"/>
      <c r="AA7" s="20"/>
      <c r="AB7" s="20"/>
      <c r="AC7" s="20"/>
      <c r="AD7" s="21"/>
    </row>
    <row r="8" ht="16.5" customHeight="1">
      <c r="B8" s="56" t="s">
        <v>785</v>
      </c>
      <c r="C8" s="62">
        <f>ROUND(1*10*20/7,0)</f>
        <v>29</v>
      </c>
    </row>
    <row r="9" ht="16.5" customHeight="1">
      <c r="B9" s="56" t="s">
        <v>788</v>
      </c>
      <c r="C9" s="62">
        <f>SUM(E15:E24)</f>
        <v>28</v>
      </c>
    </row>
    <row r="10" ht="16.5" customHeight="1">
      <c r="B10" s="56" t="s">
        <v>789</v>
      </c>
      <c r="C10" s="62">
        <f>COUNTIF(G15:G24,C4)</f>
        <v>8</v>
      </c>
    </row>
    <row r="11" ht="16.5" customHeight="1">
      <c r="B11" s="56" t="s">
        <v>790</v>
      </c>
      <c r="C11" s="63">
        <v>46299.0</v>
      </c>
    </row>
    <row r="13" ht="18.0" customHeight="1">
      <c r="A13" s="14" t="s">
        <v>792</v>
      </c>
      <c r="B13" s="15"/>
      <c r="C13" s="15"/>
      <c r="D13" s="15"/>
      <c r="E13" s="15"/>
      <c r="F13" s="15"/>
      <c r="G13" s="15"/>
      <c r="H13" s="15"/>
      <c r="I13" s="17"/>
      <c r="J13" s="14" t="s">
        <v>793</v>
      </c>
      <c r="K13" s="15"/>
      <c r="L13" s="15"/>
      <c r="M13" s="15"/>
      <c r="N13" s="15"/>
      <c r="O13" s="15"/>
      <c r="P13" s="15"/>
      <c r="Q13" s="15"/>
      <c r="R13" s="15"/>
      <c r="S13" s="15"/>
      <c r="T13" s="15"/>
      <c r="U13" s="15"/>
      <c r="V13" s="15"/>
      <c r="W13" s="15"/>
      <c r="X13" s="15"/>
      <c r="Y13" s="15"/>
      <c r="Z13" s="15"/>
      <c r="AA13" s="15"/>
      <c r="AB13" s="15"/>
      <c r="AC13" s="17"/>
      <c r="AD13" s="65" t="s">
        <v>794</v>
      </c>
    </row>
    <row r="14" ht="39.75" customHeight="1">
      <c r="A14" s="18" t="s">
        <v>619</v>
      </c>
      <c r="B14" s="18" t="s">
        <v>742</v>
      </c>
      <c r="C14" s="18" t="s">
        <v>795</v>
      </c>
      <c r="D14" s="18" t="s">
        <v>97</v>
      </c>
      <c r="E14" s="18" t="s">
        <v>796</v>
      </c>
      <c r="F14" s="18" t="s">
        <v>797</v>
      </c>
      <c r="G14" s="18" t="s">
        <v>559</v>
      </c>
      <c r="H14" s="18" t="s">
        <v>339</v>
      </c>
      <c r="I14" s="18" t="s">
        <v>713</v>
      </c>
      <c r="J14" s="66">
        <f>IF($C$4="","",$C$4+0)</f>
        <v>46289</v>
      </c>
      <c r="K14" s="66">
        <f>IF($C$4="","",$C$4+1)</f>
        <v>46290</v>
      </c>
      <c r="L14" s="66">
        <f>IF($C$4="","",$C$4+2)</f>
        <v>46291</v>
      </c>
      <c r="M14" s="66">
        <f>IF($C$4="","",$C$4+3)</f>
        <v>46292</v>
      </c>
      <c r="N14" s="66">
        <f>IF($C$4="","",$C$4+4)</f>
        <v>46293</v>
      </c>
      <c r="O14" s="66">
        <f>IF($C$4="","",$C$4+5)</f>
        <v>46294</v>
      </c>
      <c r="P14" s="66">
        <f>IF($C$4="","",$C$4+6)</f>
        <v>46295</v>
      </c>
      <c r="Q14" s="66">
        <f>IF($C$4="","",$C$4+7)</f>
        <v>46296</v>
      </c>
      <c r="R14" s="66">
        <f>IF($C$4="","",$C$4+8)</f>
        <v>46297</v>
      </c>
      <c r="S14" s="66">
        <f>IF($C$4="","",$C$4+9)</f>
        <v>46298</v>
      </c>
      <c r="T14" s="66">
        <f>IF($C$4="","",$C$4+10)</f>
        <v>46299</v>
      </c>
      <c r="U14" s="66">
        <f>IF($C$4="","",$C$4+11)</f>
        <v>46300</v>
      </c>
      <c r="V14" s="66">
        <f>IF($C$4="","",$C$4+12)</f>
        <v>46301</v>
      </c>
      <c r="W14" s="66">
        <f>IF($C$4="","",$C$4+13)</f>
        <v>46302</v>
      </c>
      <c r="X14" s="66">
        <f>IF($C$4="","",$C$4+14)</f>
        <v>46303</v>
      </c>
      <c r="Y14" s="66">
        <f>IF($C$4="","",$C$4+15)</f>
        <v>46304</v>
      </c>
      <c r="Z14" s="66">
        <f>IF($C$4="","",$C$4+16)</f>
        <v>46305</v>
      </c>
      <c r="AA14" s="66">
        <f>IF($C$4="","",$C$4+17)</f>
        <v>46306</v>
      </c>
      <c r="AB14" s="66">
        <f>IF($C$4="","",$C$4+18)</f>
        <v>46307</v>
      </c>
      <c r="AC14" s="66">
        <f>IF($C$4="","",$C$4+19)</f>
        <v>46308</v>
      </c>
      <c r="AD14" s="18" t="s">
        <v>799</v>
      </c>
    </row>
    <row r="15" ht="17.25" customHeight="1">
      <c r="A15" s="16">
        <v>1.0</v>
      </c>
      <c r="B15" s="6" t="s">
        <v>800</v>
      </c>
      <c r="C15" s="6" t="s">
        <v>801</v>
      </c>
      <c r="D15" s="6" t="s">
        <v>19</v>
      </c>
      <c r="E15" s="8">
        <v>4.0</v>
      </c>
      <c r="F15" s="67"/>
      <c r="G15" s="68">
        <v>46289.0</v>
      </c>
      <c r="H15" s="16" t="s">
        <v>375</v>
      </c>
      <c r="I15" s="68">
        <v>46290.0</v>
      </c>
      <c r="J15" s="16" t="str">
        <f t="shared" ref="J15:AC15" si="1">IF($I15=J$14,"✔","")</f>
        <v/>
      </c>
      <c r="K15" s="16" t="str">
        <f t="shared" si="1"/>
        <v>✔</v>
      </c>
      <c r="L15" s="16" t="str">
        <f t="shared" si="1"/>
        <v/>
      </c>
      <c r="M15" s="16" t="str">
        <f t="shared" si="1"/>
        <v/>
      </c>
      <c r="N15" s="16" t="str">
        <f t="shared" si="1"/>
        <v/>
      </c>
      <c r="O15" s="16" t="str">
        <f t="shared" si="1"/>
        <v/>
      </c>
      <c r="P15" s="16" t="str">
        <f t="shared" si="1"/>
        <v/>
      </c>
      <c r="Q15" s="16" t="str">
        <f t="shared" si="1"/>
        <v/>
      </c>
      <c r="R15" s="16" t="str">
        <f t="shared" si="1"/>
        <v/>
      </c>
      <c r="S15" s="16" t="str">
        <f t="shared" si="1"/>
        <v/>
      </c>
      <c r="T15" s="16" t="str">
        <f t="shared" si="1"/>
        <v/>
      </c>
      <c r="U15" s="16" t="str">
        <f t="shared" si="1"/>
        <v/>
      </c>
      <c r="V15" s="16" t="str">
        <f t="shared" si="1"/>
        <v/>
      </c>
      <c r="W15" s="16" t="str">
        <f t="shared" si="1"/>
        <v/>
      </c>
      <c r="X15" s="16" t="str">
        <f t="shared" si="1"/>
        <v/>
      </c>
      <c r="Y15" s="16" t="str">
        <f t="shared" si="1"/>
        <v/>
      </c>
      <c r="Z15" s="16" t="str">
        <f t="shared" si="1"/>
        <v/>
      </c>
      <c r="AA15" s="16" t="str">
        <f t="shared" si="1"/>
        <v/>
      </c>
      <c r="AB15" s="16" t="str">
        <f t="shared" si="1"/>
        <v/>
      </c>
      <c r="AC15" s="16" t="str">
        <f t="shared" si="1"/>
        <v/>
      </c>
      <c r="AD15" s="69" t="s">
        <v>802</v>
      </c>
    </row>
    <row r="16" ht="17.25" customHeight="1">
      <c r="A16" s="24">
        <v>2.0</v>
      </c>
      <c r="B16" s="11" t="s">
        <v>803</v>
      </c>
      <c r="C16" s="11" t="s">
        <v>801</v>
      </c>
      <c r="D16" s="11" t="s">
        <v>19</v>
      </c>
      <c r="E16" s="13">
        <v>4.0</v>
      </c>
      <c r="F16" s="67"/>
      <c r="G16" s="70">
        <v>46289.0</v>
      </c>
      <c r="H16" s="24" t="s">
        <v>375</v>
      </c>
      <c r="I16" s="70">
        <v>46292.0</v>
      </c>
      <c r="J16" s="24" t="str">
        <f t="shared" ref="J16:AC16" si="2">IF($I16=J$14,"✔","")</f>
        <v/>
      </c>
      <c r="K16" s="24" t="str">
        <f t="shared" si="2"/>
        <v/>
      </c>
      <c r="L16" s="24" t="str">
        <f t="shared" si="2"/>
        <v/>
      </c>
      <c r="M16" s="24" t="str">
        <f t="shared" si="2"/>
        <v>✔</v>
      </c>
      <c r="N16" s="24" t="str">
        <f t="shared" si="2"/>
        <v/>
      </c>
      <c r="O16" s="24" t="str">
        <f t="shared" si="2"/>
        <v/>
      </c>
      <c r="P16" s="24" t="str">
        <f t="shared" si="2"/>
        <v/>
      </c>
      <c r="Q16" s="24" t="str">
        <f t="shared" si="2"/>
        <v/>
      </c>
      <c r="R16" s="24" t="str">
        <f t="shared" si="2"/>
        <v/>
      </c>
      <c r="S16" s="24" t="str">
        <f t="shared" si="2"/>
        <v/>
      </c>
      <c r="T16" s="24" t="str">
        <f t="shared" si="2"/>
        <v/>
      </c>
      <c r="U16" s="24" t="str">
        <f t="shared" si="2"/>
        <v/>
      </c>
      <c r="V16" s="24" t="str">
        <f t="shared" si="2"/>
        <v/>
      </c>
      <c r="W16" s="24" t="str">
        <f t="shared" si="2"/>
        <v/>
      </c>
      <c r="X16" s="24" t="str">
        <f t="shared" si="2"/>
        <v/>
      </c>
      <c r="Y16" s="24" t="str">
        <f t="shared" si="2"/>
        <v/>
      </c>
      <c r="Z16" s="24" t="str">
        <f t="shared" si="2"/>
        <v/>
      </c>
      <c r="AA16" s="24" t="str">
        <f t="shared" si="2"/>
        <v/>
      </c>
      <c r="AB16" s="24" t="str">
        <f t="shared" si="2"/>
        <v/>
      </c>
      <c r="AC16" s="24" t="str">
        <f t="shared" si="2"/>
        <v/>
      </c>
      <c r="AD16" s="69" t="s">
        <v>802</v>
      </c>
    </row>
    <row r="17" ht="30.75" customHeight="1">
      <c r="A17" s="16">
        <v>3.0</v>
      </c>
      <c r="B17" s="6" t="s">
        <v>806</v>
      </c>
      <c r="C17" s="6" t="s">
        <v>801</v>
      </c>
      <c r="D17" s="6" t="s">
        <v>19</v>
      </c>
      <c r="E17" s="8">
        <v>2.0</v>
      </c>
      <c r="F17" s="67"/>
      <c r="G17" s="68">
        <v>46289.0</v>
      </c>
      <c r="H17" s="16" t="s">
        <v>375</v>
      </c>
      <c r="I17" s="68">
        <v>46293.0</v>
      </c>
      <c r="J17" s="16" t="str">
        <f t="shared" ref="J17:AC17" si="3">IF($I17=J$14,"✔","")</f>
        <v/>
      </c>
      <c r="K17" s="16" t="str">
        <f t="shared" si="3"/>
        <v/>
      </c>
      <c r="L17" s="16" t="str">
        <f t="shared" si="3"/>
        <v/>
      </c>
      <c r="M17" s="16" t="str">
        <f t="shared" si="3"/>
        <v/>
      </c>
      <c r="N17" s="16" t="str">
        <f t="shared" si="3"/>
        <v>✔</v>
      </c>
      <c r="O17" s="16" t="str">
        <f t="shared" si="3"/>
        <v/>
      </c>
      <c r="P17" s="16" t="str">
        <f t="shared" si="3"/>
        <v/>
      </c>
      <c r="Q17" s="16" t="str">
        <f t="shared" si="3"/>
        <v/>
      </c>
      <c r="R17" s="16" t="str">
        <f t="shared" si="3"/>
        <v/>
      </c>
      <c r="S17" s="16" t="str">
        <f t="shared" si="3"/>
        <v/>
      </c>
      <c r="T17" s="16" t="str">
        <f t="shared" si="3"/>
        <v/>
      </c>
      <c r="U17" s="16" t="str">
        <f t="shared" si="3"/>
        <v/>
      </c>
      <c r="V17" s="16" t="str">
        <f t="shared" si="3"/>
        <v/>
      </c>
      <c r="W17" s="16" t="str">
        <f t="shared" si="3"/>
        <v/>
      </c>
      <c r="X17" s="16" t="str">
        <f t="shared" si="3"/>
        <v/>
      </c>
      <c r="Y17" s="16" t="str">
        <f t="shared" si="3"/>
        <v/>
      </c>
      <c r="Z17" s="16" t="str">
        <f t="shared" si="3"/>
        <v/>
      </c>
      <c r="AA17" s="16" t="str">
        <f t="shared" si="3"/>
        <v/>
      </c>
      <c r="AB17" s="16" t="str">
        <f t="shared" si="3"/>
        <v/>
      </c>
      <c r="AC17" s="16" t="str">
        <f t="shared" si="3"/>
        <v/>
      </c>
      <c r="AD17" s="69" t="s">
        <v>802</v>
      </c>
    </row>
    <row r="18" ht="17.25" customHeight="1">
      <c r="A18" s="24">
        <v>4.0</v>
      </c>
      <c r="B18" s="11" t="s">
        <v>807</v>
      </c>
      <c r="C18" s="11" t="s">
        <v>801</v>
      </c>
      <c r="D18" s="11" t="s">
        <v>19</v>
      </c>
      <c r="E18" s="13">
        <v>3.0</v>
      </c>
      <c r="F18" s="67"/>
      <c r="G18" s="70">
        <v>46289.0</v>
      </c>
      <c r="H18" s="24" t="s">
        <v>375</v>
      </c>
      <c r="I18" s="70">
        <v>46293.0</v>
      </c>
      <c r="J18" s="24" t="str">
        <f t="shared" ref="J18:AC18" si="4">IF($I18=J$14,"✔","")</f>
        <v/>
      </c>
      <c r="K18" s="24" t="str">
        <f t="shared" si="4"/>
        <v/>
      </c>
      <c r="L18" s="24" t="str">
        <f t="shared" si="4"/>
        <v/>
      </c>
      <c r="M18" s="24" t="str">
        <f t="shared" si="4"/>
        <v/>
      </c>
      <c r="N18" s="24" t="str">
        <f t="shared" si="4"/>
        <v>✔</v>
      </c>
      <c r="O18" s="24" t="str">
        <f t="shared" si="4"/>
        <v/>
      </c>
      <c r="P18" s="24" t="str">
        <f t="shared" si="4"/>
        <v/>
      </c>
      <c r="Q18" s="24" t="str">
        <f t="shared" si="4"/>
        <v/>
      </c>
      <c r="R18" s="24" t="str">
        <f t="shared" si="4"/>
        <v/>
      </c>
      <c r="S18" s="24" t="str">
        <f t="shared" si="4"/>
        <v/>
      </c>
      <c r="T18" s="24" t="str">
        <f t="shared" si="4"/>
        <v/>
      </c>
      <c r="U18" s="24" t="str">
        <f t="shared" si="4"/>
        <v/>
      </c>
      <c r="V18" s="24" t="str">
        <f t="shared" si="4"/>
        <v/>
      </c>
      <c r="W18" s="24" t="str">
        <f t="shared" si="4"/>
        <v/>
      </c>
      <c r="X18" s="24" t="str">
        <f t="shared" si="4"/>
        <v/>
      </c>
      <c r="Y18" s="24" t="str">
        <f t="shared" si="4"/>
        <v/>
      </c>
      <c r="Z18" s="24" t="str">
        <f t="shared" si="4"/>
        <v/>
      </c>
      <c r="AA18" s="24" t="str">
        <f t="shared" si="4"/>
        <v/>
      </c>
      <c r="AB18" s="24" t="str">
        <f t="shared" si="4"/>
        <v/>
      </c>
      <c r="AC18" s="24" t="str">
        <f t="shared" si="4"/>
        <v/>
      </c>
      <c r="AD18" s="69" t="s">
        <v>802</v>
      </c>
    </row>
    <row r="19" ht="17.25" customHeight="1">
      <c r="A19" s="16">
        <v>5.0</v>
      </c>
      <c r="B19" s="6" t="s">
        <v>811</v>
      </c>
      <c r="C19" s="6" t="s">
        <v>801</v>
      </c>
      <c r="D19" s="6" t="s">
        <v>19</v>
      </c>
      <c r="E19" s="8">
        <v>3.0</v>
      </c>
      <c r="F19" s="67"/>
      <c r="G19" s="68">
        <v>46289.0</v>
      </c>
      <c r="H19" s="16" t="s">
        <v>375</v>
      </c>
      <c r="I19" s="68">
        <v>46293.0</v>
      </c>
      <c r="J19" s="16" t="str">
        <f t="shared" ref="J19:AC19" si="5">IF($I19=J$14,"✔","")</f>
        <v/>
      </c>
      <c r="K19" s="16" t="str">
        <f t="shared" si="5"/>
        <v/>
      </c>
      <c r="L19" s="16" t="str">
        <f t="shared" si="5"/>
        <v/>
      </c>
      <c r="M19" s="16" t="str">
        <f t="shared" si="5"/>
        <v/>
      </c>
      <c r="N19" s="16" t="str">
        <f t="shared" si="5"/>
        <v>✔</v>
      </c>
      <c r="O19" s="16" t="str">
        <f t="shared" si="5"/>
        <v/>
      </c>
      <c r="P19" s="16" t="str">
        <f t="shared" si="5"/>
        <v/>
      </c>
      <c r="Q19" s="16" t="str">
        <f t="shared" si="5"/>
        <v/>
      </c>
      <c r="R19" s="16" t="str">
        <f t="shared" si="5"/>
        <v/>
      </c>
      <c r="S19" s="16" t="str">
        <f t="shared" si="5"/>
        <v/>
      </c>
      <c r="T19" s="16" t="str">
        <f t="shared" si="5"/>
        <v/>
      </c>
      <c r="U19" s="16" t="str">
        <f t="shared" si="5"/>
        <v/>
      </c>
      <c r="V19" s="16" t="str">
        <f t="shared" si="5"/>
        <v/>
      </c>
      <c r="W19" s="16" t="str">
        <f t="shared" si="5"/>
        <v/>
      </c>
      <c r="X19" s="16" t="str">
        <f t="shared" si="5"/>
        <v/>
      </c>
      <c r="Y19" s="16" t="str">
        <f t="shared" si="5"/>
        <v/>
      </c>
      <c r="Z19" s="16" t="str">
        <f t="shared" si="5"/>
        <v/>
      </c>
      <c r="AA19" s="16" t="str">
        <f t="shared" si="5"/>
        <v/>
      </c>
      <c r="AB19" s="16" t="str">
        <f t="shared" si="5"/>
        <v/>
      </c>
      <c r="AC19" s="16" t="str">
        <f t="shared" si="5"/>
        <v/>
      </c>
      <c r="AD19" s="69" t="s">
        <v>802</v>
      </c>
    </row>
    <row r="20" ht="17.25" customHeight="1">
      <c r="A20" s="24">
        <v>6.0</v>
      </c>
      <c r="B20" s="11" t="s">
        <v>813</v>
      </c>
      <c r="C20" s="11" t="s">
        <v>205</v>
      </c>
      <c r="D20" s="11" t="s">
        <v>19</v>
      </c>
      <c r="E20" s="13">
        <v>2.0</v>
      </c>
      <c r="F20" s="67"/>
      <c r="G20" s="70">
        <v>46289.0</v>
      </c>
      <c r="H20" s="24" t="s">
        <v>375</v>
      </c>
      <c r="I20" s="70">
        <v>46293.0</v>
      </c>
      <c r="J20" s="24" t="str">
        <f t="shared" ref="J20:AC20" si="6">IF($I20=J$14,"✔","")</f>
        <v/>
      </c>
      <c r="K20" s="24" t="str">
        <f t="shared" si="6"/>
        <v/>
      </c>
      <c r="L20" s="24" t="str">
        <f t="shared" si="6"/>
        <v/>
      </c>
      <c r="M20" s="24" t="str">
        <f t="shared" si="6"/>
        <v/>
      </c>
      <c r="N20" s="24" t="str">
        <f t="shared" si="6"/>
        <v>✔</v>
      </c>
      <c r="O20" s="24" t="str">
        <f t="shared" si="6"/>
        <v/>
      </c>
      <c r="P20" s="24" t="str">
        <f t="shared" si="6"/>
        <v/>
      </c>
      <c r="Q20" s="24" t="str">
        <f t="shared" si="6"/>
        <v/>
      </c>
      <c r="R20" s="24" t="str">
        <f t="shared" si="6"/>
        <v/>
      </c>
      <c r="S20" s="24" t="str">
        <f t="shared" si="6"/>
        <v/>
      </c>
      <c r="T20" s="24" t="str">
        <f t="shared" si="6"/>
        <v/>
      </c>
      <c r="U20" s="24" t="str">
        <f t="shared" si="6"/>
        <v/>
      </c>
      <c r="V20" s="24" t="str">
        <f t="shared" si="6"/>
        <v/>
      </c>
      <c r="W20" s="24" t="str">
        <f t="shared" si="6"/>
        <v/>
      </c>
      <c r="X20" s="24" t="str">
        <f t="shared" si="6"/>
        <v/>
      </c>
      <c r="Y20" s="24" t="str">
        <f t="shared" si="6"/>
        <v/>
      </c>
      <c r="Z20" s="24" t="str">
        <f t="shared" si="6"/>
        <v/>
      </c>
      <c r="AA20" s="24" t="str">
        <f t="shared" si="6"/>
        <v/>
      </c>
      <c r="AB20" s="24" t="str">
        <f t="shared" si="6"/>
        <v/>
      </c>
      <c r="AC20" s="24" t="str">
        <f t="shared" si="6"/>
        <v/>
      </c>
      <c r="AD20" s="69" t="s">
        <v>802</v>
      </c>
    </row>
    <row r="21" ht="17.25" customHeight="1">
      <c r="A21" s="16">
        <v>7.0</v>
      </c>
      <c r="B21" s="6" t="s">
        <v>816</v>
      </c>
      <c r="C21" s="6" t="s">
        <v>205</v>
      </c>
      <c r="D21" s="6" t="s">
        <v>19</v>
      </c>
      <c r="E21" s="8">
        <v>2.0</v>
      </c>
      <c r="F21" s="67"/>
      <c r="G21" s="68">
        <v>46289.0</v>
      </c>
      <c r="H21" s="16" t="s">
        <v>375</v>
      </c>
      <c r="I21" s="68">
        <v>46294.0</v>
      </c>
      <c r="J21" s="16" t="str">
        <f t="shared" ref="J21:AC21" si="7">IF($I21=J$14,"✔","")</f>
        <v/>
      </c>
      <c r="K21" s="16" t="str">
        <f t="shared" si="7"/>
        <v/>
      </c>
      <c r="L21" s="16" t="str">
        <f t="shared" si="7"/>
        <v/>
      </c>
      <c r="M21" s="16" t="str">
        <f t="shared" si="7"/>
        <v/>
      </c>
      <c r="N21" s="16" t="str">
        <f t="shared" si="7"/>
        <v/>
      </c>
      <c r="O21" s="16" t="str">
        <f t="shared" si="7"/>
        <v>✔</v>
      </c>
      <c r="P21" s="16" t="str">
        <f t="shared" si="7"/>
        <v/>
      </c>
      <c r="Q21" s="16" t="str">
        <f t="shared" si="7"/>
        <v/>
      </c>
      <c r="R21" s="16" t="str">
        <f t="shared" si="7"/>
        <v/>
      </c>
      <c r="S21" s="16" t="str">
        <f t="shared" si="7"/>
        <v/>
      </c>
      <c r="T21" s="16" t="str">
        <f t="shared" si="7"/>
        <v/>
      </c>
      <c r="U21" s="16" t="str">
        <f t="shared" si="7"/>
        <v/>
      </c>
      <c r="V21" s="16" t="str">
        <f t="shared" si="7"/>
        <v/>
      </c>
      <c r="W21" s="16" t="str">
        <f t="shared" si="7"/>
        <v/>
      </c>
      <c r="X21" s="16" t="str">
        <f t="shared" si="7"/>
        <v/>
      </c>
      <c r="Y21" s="16" t="str">
        <f t="shared" si="7"/>
        <v/>
      </c>
      <c r="Z21" s="16" t="str">
        <f t="shared" si="7"/>
        <v/>
      </c>
      <c r="AA21" s="16" t="str">
        <f t="shared" si="7"/>
        <v/>
      </c>
      <c r="AB21" s="16" t="str">
        <f t="shared" si="7"/>
        <v/>
      </c>
      <c r="AC21" s="16" t="str">
        <f t="shared" si="7"/>
        <v/>
      </c>
      <c r="AD21" s="69" t="s">
        <v>802</v>
      </c>
    </row>
    <row r="22" ht="30.75" customHeight="1">
      <c r="A22" s="24">
        <v>8.0</v>
      </c>
      <c r="B22" s="11" t="s">
        <v>818</v>
      </c>
      <c r="C22" s="11" t="s">
        <v>205</v>
      </c>
      <c r="D22" s="11" t="s">
        <v>19</v>
      </c>
      <c r="E22" s="13">
        <v>2.0</v>
      </c>
      <c r="F22" s="67"/>
      <c r="G22" s="70">
        <v>46289.0</v>
      </c>
      <c r="H22" s="24" t="s">
        <v>375</v>
      </c>
      <c r="I22" s="70">
        <v>46294.0</v>
      </c>
      <c r="J22" s="24" t="str">
        <f t="shared" ref="J22:AC22" si="8">IF($I22=J$14,"✔","")</f>
        <v/>
      </c>
      <c r="K22" s="24" t="str">
        <f t="shared" si="8"/>
        <v/>
      </c>
      <c r="L22" s="24" t="str">
        <f t="shared" si="8"/>
        <v/>
      </c>
      <c r="M22" s="24" t="str">
        <f t="shared" si="8"/>
        <v/>
      </c>
      <c r="N22" s="24" t="str">
        <f t="shared" si="8"/>
        <v/>
      </c>
      <c r="O22" s="24" t="str">
        <f t="shared" si="8"/>
        <v>✔</v>
      </c>
      <c r="P22" s="24" t="str">
        <f t="shared" si="8"/>
        <v/>
      </c>
      <c r="Q22" s="24" t="str">
        <f t="shared" si="8"/>
        <v/>
      </c>
      <c r="R22" s="24" t="str">
        <f t="shared" si="8"/>
        <v/>
      </c>
      <c r="S22" s="24" t="str">
        <f t="shared" si="8"/>
        <v/>
      </c>
      <c r="T22" s="24" t="str">
        <f t="shared" si="8"/>
        <v/>
      </c>
      <c r="U22" s="24" t="str">
        <f t="shared" si="8"/>
        <v/>
      </c>
      <c r="V22" s="24" t="str">
        <f t="shared" si="8"/>
        <v/>
      </c>
      <c r="W22" s="24" t="str">
        <f t="shared" si="8"/>
        <v/>
      </c>
      <c r="X22" s="24" t="str">
        <f t="shared" si="8"/>
        <v/>
      </c>
      <c r="Y22" s="24" t="str">
        <f t="shared" si="8"/>
        <v/>
      </c>
      <c r="Z22" s="24" t="str">
        <f t="shared" si="8"/>
        <v/>
      </c>
      <c r="AA22" s="24" t="str">
        <f t="shared" si="8"/>
        <v/>
      </c>
      <c r="AB22" s="24" t="str">
        <f t="shared" si="8"/>
        <v/>
      </c>
      <c r="AC22" s="24" t="str">
        <f t="shared" si="8"/>
        <v/>
      </c>
      <c r="AD22" s="69" t="s">
        <v>802</v>
      </c>
    </row>
    <row r="23" ht="30.75" customHeight="1">
      <c r="A23" s="16">
        <v>9.0</v>
      </c>
      <c r="B23" s="6" t="s">
        <v>820</v>
      </c>
      <c r="C23" s="6" t="s">
        <v>205</v>
      </c>
      <c r="D23" s="6" t="s">
        <v>19</v>
      </c>
      <c r="E23" s="8">
        <v>3.0</v>
      </c>
      <c r="F23" s="67"/>
      <c r="G23" s="68">
        <v>46295.0</v>
      </c>
      <c r="H23" s="16" t="s">
        <v>375</v>
      </c>
      <c r="I23" s="72">
        <v>46299.0</v>
      </c>
      <c r="J23" s="16" t="str">
        <f t="shared" ref="J23:AC23" si="9">IF($I23=J$14,"✔","")</f>
        <v/>
      </c>
      <c r="K23" s="16" t="str">
        <f t="shared" si="9"/>
        <v/>
      </c>
      <c r="L23" s="16" t="str">
        <f t="shared" si="9"/>
        <v/>
      </c>
      <c r="M23" s="16" t="str">
        <f t="shared" si="9"/>
        <v/>
      </c>
      <c r="N23" s="16" t="str">
        <f t="shared" si="9"/>
        <v/>
      </c>
      <c r="O23" s="16" t="str">
        <f t="shared" si="9"/>
        <v/>
      </c>
      <c r="P23" s="16" t="str">
        <f t="shared" si="9"/>
        <v/>
      </c>
      <c r="Q23" s="16" t="str">
        <f t="shared" si="9"/>
        <v/>
      </c>
      <c r="R23" s="16" t="str">
        <f t="shared" si="9"/>
        <v/>
      </c>
      <c r="S23" s="16" t="str">
        <f t="shared" si="9"/>
        <v/>
      </c>
      <c r="T23" s="16" t="str">
        <f t="shared" si="9"/>
        <v>✔</v>
      </c>
      <c r="U23" s="16" t="str">
        <f t="shared" si="9"/>
        <v/>
      </c>
      <c r="V23" s="16" t="str">
        <f t="shared" si="9"/>
        <v/>
      </c>
      <c r="W23" s="16" t="str">
        <f t="shared" si="9"/>
        <v/>
      </c>
      <c r="X23" s="16" t="str">
        <f t="shared" si="9"/>
        <v/>
      </c>
      <c r="Y23" s="16" t="str">
        <f t="shared" si="9"/>
        <v/>
      </c>
      <c r="Z23" s="16" t="str">
        <f t="shared" si="9"/>
        <v/>
      </c>
      <c r="AA23" s="16" t="str">
        <f t="shared" si="9"/>
        <v/>
      </c>
      <c r="AB23" s="16" t="str">
        <f t="shared" si="9"/>
        <v/>
      </c>
      <c r="AC23" s="16" t="str">
        <f t="shared" si="9"/>
        <v/>
      </c>
      <c r="AD23" s="69" t="s">
        <v>802</v>
      </c>
    </row>
    <row r="24" ht="30.75" customHeight="1">
      <c r="A24" s="24">
        <v>10.0</v>
      </c>
      <c r="B24" s="11" t="s">
        <v>822</v>
      </c>
      <c r="C24" s="11" t="s">
        <v>205</v>
      </c>
      <c r="D24" s="11" t="s">
        <v>19</v>
      </c>
      <c r="E24" s="13">
        <v>3.0</v>
      </c>
      <c r="F24" s="67"/>
      <c r="G24" s="70">
        <v>46298.0</v>
      </c>
      <c r="H24" s="73" t="s">
        <v>375</v>
      </c>
      <c r="I24" s="70"/>
      <c r="J24" s="24" t="str">
        <f t="shared" ref="J24:AC24" si="10">IF($I24=J$14,"✔","")</f>
        <v/>
      </c>
      <c r="K24" s="24" t="str">
        <f t="shared" si="10"/>
        <v/>
      </c>
      <c r="L24" s="24" t="str">
        <f t="shared" si="10"/>
        <v/>
      </c>
      <c r="M24" s="24" t="str">
        <f t="shared" si="10"/>
        <v/>
      </c>
      <c r="N24" s="24" t="str">
        <f t="shared" si="10"/>
        <v/>
      </c>
      <c r="O24" s="24" t="str">
        <f t="shared" si="10"/>
        <v/>
      </c>
      <c r="P24" s="24" t="str">
        <f t="shared" si="10"/>
        <v/>
      </c>
      <c r="Q24" s="24" t="str">
        <f t="shared" si="10"/>
        <v/>
      </c>
      <c r="R24" s="24" t="str">
        <f t="shared" si="10"/>
        <v/>
      </c>
      <c r="S24" s="24" t="str">
        <f t="shared" si="10"/>
        <v/>
      </c>
      <c r="T24" s="24" t="str">
        <f t="shared" si="10"/>
        <v/>
      </c>
      <c r="U24" s="24" t="str">
        <f t="shared" si="10"/>
        <v/>
      </c>
      <c r="V24" s="24" t="str">
        <f t="shared" si="10"/>
        <v/>
      </c>
      <c r="W24" s="24" t="str">
        <f t="shared" si="10"/>
        <v/>
      </c>
      <c r="X24" s="24" t="str">
        <f t="shared" si="10"/>
        <v/>
      </c>
      <c r="Y24" s="24" t="str">
        <f t="shared" si="10"/>
        <v/>
      </c>
      <c r="Z24" s="24" t="str">
        <f t="shared" si="10"/>
        <v/>
      </c>
      <c r="AA24" s="24" t="str">
        <f t="shared" si="10"/>
        <v/>
      </c>
      <c r="AB24" s="24" t="str">
        <f t="shared" si="10"/>
        <v/>
      </c>
      <c r="AC24" s="24" t="str">
        <f t="shared" si="10"/>
        <v/>
      </c>
      <c r="AD24" s="69" t="s">
        <v>802</v>
      </c>
    </row>
    <row r="25" ht="15.75" customHeight="1">
      <c r="A25" s="74"/>
      <c r="B25" s="74" t="s">
        <v>260</v>
      </c>
      <c r="C25" s="74"/>
      <c r="D25" s="74"/>
      <c r="E25" s="75">
        <f t="shared" ref="E25:F25" si="11">SUM(E15:E24)</f>
        <v>28</v>
      </c>
      <c r="F25" s="75">
        <f t="shared" si="11"/>
        <v>0</v>
      </c>
      <c r="G25" s="74"/>
      <c r="H25" s="75" t="str">
        <f>COUNTIF(H15:H24,"Hecho")&amp;" hechas"</f>
        <v>10 hechas</v>
      </c>
      <c r="I25" s="74"/>
      <c r="J25" s="74"/>
      <c r="K25" s="74"/>
      <c r="L25" s="74"/>
      <c r="M25" s="74"/>
      <c r="N25" s="74"/>
      <c r="O25" s="74"/>
      <c r="P25" s="74"/>
      <c r="Q25" s="74"/>
      <c r="R25" s="74"/>
      <c r="S25" s="74"/>
      <c r="T25" s="74"/>
      <c r="U25" s="74"/>
      <c r="V25" s="74"/>
      <c r="W25" s="74"/>
      <c r="X25" s="74"/>
      <c r="Y25" s="74"/>
      <c r="Z25" s="74"/>
      <c r="AA25" s="74"/>
      <c r="AB25" s="74"/>
      <c r="AC25" s="74"/>
      <c r="AD25" s="74"/>
    </row>
    <row r="26" ht="15.75" customHeight="1"/>
    <row r="27" ht="18.0" customHeight="1">
      <c r="A27" s="27" t="s">
        <v>830</v>
      </c>
    </row>
    <row r="28" ht="27.75" customHeight="1">
      <c r="A28" s="76" t="s">
        <v>834</v>
      </c>
      <c r="B28" s="76" t="s">
        <v>836</v>
      </c>
      <c r="C28" s="76" t="s">
        <v>837</v>
      </c>
      <c r="D28" s="76" t="s">
        <v>838</v>
      </c>
    </row>
    <row r="29" ht="15.75" customHeight="1">
      <c r="A29" s="78">
        <v>0.0</v>
      </c>
      <c r="B29" s="78" t="s">
        <v>840</v>
      </c>
      <c r="C29" s="78">
        <f t="shared" ref="C29:C49" si="12">IF($C$10=0,"",ROUND($C$10-$C$10*A29/20,1))</f>
        <v>8</v>
      </c>
      <c r="D29" s="78">
        <v>8.0</v>
      </c>
    </row>
    <row r="30" ht="15.75" customHeight="1">
      <c r="A30" s="78">
        <v>1.0</v>
      </c>
      <c r="B30" s="78" t="s">
        <v>862</v>
      </c>
      <c r="C30" s="78">
        <f t="shared" si="12"/>
        <v>7.6</v>
      </c>
      <c r="D30" s="78">
        <v>8.0</v>
      </c>
    </row>
    <row r="31" ht="15.75" customHeight="1">
      <c r="A31" s="78">
        <v>2.0</v>
      </c>
      <c r="B31" s="78" t="s">
        <v>869</v>
      </c>
      <c r="C31" s="78">
        <f t="shared" si="12"/>
        <v>7.2</v>
      </c>
      <c r="D31" s="78">
        <v>7.0</v>
      </c>
    </row>
    <row r="32" ht="15.75" customHeight="1">
      <c r="A32" s="78">
        <v>3.0</v>
      </c>
      <c r="B32" s="78" t="s">
        <v>873</v>
      </c>
      <c r="C32" s="78">
        <f t="shared" si="12"/>
        <v>6.8</v>
      </c>
      <c r="D32" s="78">
        <v>7.0</v>
      </c>
    </row>
    <row r="33" ht="15.75" customHeight="1">
      <c r="A33" s="78">
        <v>4.0</v>
      </c>
      <c r="B33" s="78" t="s">
        <v>875</v>
      </c>
      <c r="C33" s="78">
        <f t="shared" si="12"/>
        <v>6.4</v>
      </c>
      <c r="D33" s="78">
        <v>6.0</v>
      </c>
    </row>
    <row r="34" ht="15.75" customHeight="1">
      <c r="A34" s="78">
        <v>5.0</v>
      </c>
      <c r="B34" s="78" t="s">
        <v>876</v>
      </c>
      <c r="C34" s="78">
        <f t="shared" si="12"/>
        <v>6</v>
      </c>
      <c r="D34" s="78">
        <v>2.0</v>
      </c>
    </row>
    <row r="35" ht="15.75" customHeight="1">
      <c r="A35" s="78">
        <v>6.0</v>
      </c>
      <c r="B35" s="78" t="s">
        <v>877</v>
      </c>
      <c r="C35" s="78">
        <f t="shared" si="12"/>
        <v>5.6</v>
      </c>
      <c r="D35" s="78">
        <v>0.0</v>
      </c>
    </row>
    <row r="36" ht="15.75" customHeight="1">
      <c r="A36" s="78">
        <v>7.0</v>
      </c>
      <c r="B36" s="78" t="s">
        <v>878</v>
      </c>
      <c r="C36" s="78">
        <f t="shared" si="12"/>
        <v>5.2</v>
      </c>
      <c r="D36" s="78">
        <v>1.0</v>
      </c>
    </row>
    <row r="37" ht="15.75" customHeight="1">
      <c r="A37" s="78">
        <v>8.0</v>
      </c>
      <c r="B37" s="78" t="s">
        <v>879</v>
      </c>
      <c r="C37" s="78">
        <f t="shared" si="12"/>
        <v>4.8</v>
      </c>
      <c r="D37" s="78">
        <v>1.0</v>
      </c>
    </row>
    <row r="38" ht="15.75" customHeight="1">
      <c r="A38" s="78">
        <v>9.0</v>
      </c>
      <c r="B38" s="78" t="s">
        <v>880</v>
      </c>
      <c r="C38" s="78">
        <f t="shared" si="12"/>
        <v>4.4</v>
      </c>
      <c r="D38" s="78">
        <v>1.0</v>
      </c>
    </row>
    <row r="39" ht="15.75" customHeight="1">
      <c r="A39" s="78">
        <v>10.0</v>
      </c>
      <c r="B39" s="78" t="s">
        <v>881</v>
      </c>
      <c r="C39" s="78">
        <f t="shared" si="12"/>
        <v>4</v>
      </c>
      <c r="D39" s="78">
        <v>2.0</v>
      </c>
    </row>
    <row r="40" ht="15.75" customHeight="1">
      <c r="A40" s="78">
        <v>11.0</v>
      </c>
      <c r="B40" s="78" t="s">
        <v>882</v>
      </c>
      <c r="C40" s="78">
        <f t="shared" si="12"/>
        <v>3.6</v>
      </c>
      <c r="D40" s="78">
        <v>1.0</v>
      </c>
    </row>
    <row r="41" ht="15.75" customHeight="1">
      <c r="A41" s="78">
        <v>12.0</v>
      </c>
      <c r="B41" s="78" t="s">
        <v>883</v>
      </c>
      <c r="C41" s="78">
        <f t="shared" si="12"/>
        <v>3.2</v>
      </c>
      <c r="D41" s="82"/>
    </row>
    <row r="42" ht="15.75" customHeight="1">
      <c r="A42" s="78">
        <v>13.0</v>
      </c>
      <c r="B42" s="78" t="s">
        <v>885</v>
      </c>
      <c r="C42" s="78">
        <f t="shared" si="12"/>
        <v>2.8</v>
      </c>
      <c r="D42" s="82"/>
    </row>
    <row r="43" ht="15.75" customHeight="1">
      <c r="A43" s="78">
        <v>14.0</v>
      </c>
      <c r="B43" s="78" t="s">
        <v>887</v>
      </c>
      <c r="C43" s="78">
        <f t="shared" si="12"/>
        <v>2.4</v>
      </c>
      <c r="D43" s="82"/>
    </row>
    <row r="44" ht="15.75" customHeight="1">
      <c r="A44" s="78">
        <v>15.0</v>
      </c>
      <c r="B44" s="78" t="s">
        <v>889</v>
      </c>
      <c r="C44" s="78">
        <f t="shared" si="12"/>
        <v>2</v>
      </c>
      <c r="D44" s="82"/>
    </row>
    <row r="45" ht="15.75" customHeight="1">
      <c r="A45" s="78">
        <v>16.0</v>
      </c>
      <c r="B45" s="78" t="s">
        <v>891</v>
      </c>
      <c r="C45" s="78">
        <f t="shared" si="12"/>
        <v>1.6</v>
      </c>
      <c r="D45" s="82"/>
    </row>
    <row r="46" ht="15.75" customHeight="1">
      <c r="A46" s="78">
        <v>17.0</v>
      </c>
      <c r="B46" s="78" t="s">
        <v>892</v>
      </c>
      <c r="C46" s="78">
        <f t="shared" si="12"/>
        <v>1.2</v>
      </c>
      <c r="D46" s="82"/>
    </row>
    <row r="47" ht="15.75" customHeight="1">
      <c r="A47" s="78">
        <v>18.0</v>
      </c>
      <c r="B47" s="78" t="s">
        <v>895</v>
      </c>
      <c r="C47" s="78">
        <f t="shared" si="12"/>
        <v>0.8</v>
      </c>
      <c r="D47" s="82"/>
    </row>
    <row r="48" ht="15.75" customHeight="1">
      <c r="A48" s="78">
        <v>19.0</v>
      </c>
      <c r="B48" s="78" t="s">
        <v>897</v>
      </c>
      <c r="C48" s="78">
        <f t="shared" si="12"/>
        <v>0.4</v>
      </c>
      <c r="D48" s="82"/>
    </row>
    <row r="49" ht="15.75" customHeight="1">
      <c r="A49" s="78">
        <v>20.0</v>
      </c>
      <c r="B49" s="78" t="s">
        <v>900</v>
      </c>
      <c r="C49" s="78">
        <f t="shared" si="12"/>
        <v>0</v>
      </c>
      <c r="D49" s="82"/>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3:AD3"/>
    <mergeCell ref="C6:AD6"/>
    <mergeCell ref="C7:AD7"/>
    <mergeCell ref="A13:I13"/>
    <mergeCell ref="J13:AC13"/>
  </mergeCells>
  <conditionalFormatting sqref="H15:H24">
    <cfRule type="expression" dxfId="0" priority="1">
      <formula>H15="Hecho"</formula>
    </cfRule>
  </conditionalFormatting>
  <conditionalFormatting sqref="H15:H24">
    <cfRule type="expression" dxfId="0" priority="2">
      <formula>H15="Aprobado"</formula>
    </cfRule>
  </conditionalFormatting>
  <conditionalFormatting sqref="H15:H24">
    <cfRule type="expression" dxfId="0" priority="3">
      <formula>H15="Cerrado"</formula>
    </cfRule>
  </conditionalFormatting>
  <conditionalFormatting sqref="H15:H24">
    <cfRule type="expression" dxfId="0" priority="4">
      <formula>H15="Implementado"</formula>
    </cfRule>
  </conditionalFormatting>
  <conditionalFormatting sqref="H15:H24">
    <cfRule type="expression" dxfId="0" priority="5">
      <formula>H15="Terminado"</formula>
    </cfRule>
  </conditionalFormatting>
  <conditionalFormatting sqref="H15:H24">
    <cfRule type="expression" dxfId="0" priority="6">
      <formula>H15="Aplicado"</formula>
    </cfRule>
  </conditionalFormatting>
  <conditionalFormatting sqref="H15:H24">
    <cfRule type="expression" dxfId="0" priority="7">
      <formula>H15="A"</formula>
    </cfRule>
  </conditionalFormatting>
  <conditionalFormatting sqref="H15:H24">
    <cfRule type="expression" dxfId="1" priority="8">
      <formula>H15="En curso"</formula>
    </cfRule>
  </conditionalFormatting>
  <conditionalFormatting sqref="H15:H24">
    <cfRule type="expression" dxfId="1" priority="9">
      <formula>H15="Pendiente"</formula>
    </cfRule>
  </conditionalFormatting>
  <conditionalFormatting sqref="H15:H24">
    <cfRule type="expression" dxfId="1" priority="10">
      <formula>H15="Corregido"</formula>
    </cfRule>
  </conditionalFormatting>
  <conditionalFormatting sqref="H15:H24">
    <cfRule type="expression" dxfId="1" priority="11">
      <formula>H15="En desarrollo"</formula>
    </cfRule>
  </conditionalFormatting>
  <conditionalFormatting sqref="H15:H24">
    <cfRule type="expression" dxfId="1" priority="12">
      <formula>H15="En evaluación"</formula>
    </cfRule>
  </conditionalFormatting>
  <conditionalFormatting sqref="H15:H24">
    <cfRule type="expression" dxfId="1" priority="13">
      <formula>H15="En ejecución"</formula>
    </cfRule>
  </conditionalFormatting>
  <conditionalFormatting sqref="H15:H24">
    <cfRule type="expression" dxfId="1" priority="14">
      <formula>H15="Prueba de concepto"</formula>
    </cfRule>
  </conditionalFormatting>
  <conditionalFormatting sqref="H15:H24">
    <cfRule type="expression" dxfId="2" priority="15">
      <formula>H15="Por hacer"</formula>
    </cfRule>
  </conditionalFormatting>
  <conditionalFormatting sqref="H15:H24">
    <cfRule type="expression" dxfId="2" priority="16">
      <formula>H15="Planificado"</formula>
    </cfRule>
  </conditionalFormatting>
  <conditionalFormatting sqref="H15:H24">
    <cfRule type="expression" dxfId="2" priority="17">
      <formula>H15="Diseñado"</formula>
    </cfRule>
  </conditionalFormatting>
  <conditionalFormatting sqref="H15:H24">
    <cfRule type="expression" dxfId="3" priority="18">
      <formula>H15="Fallido"</formula>
    </cfRule>
  </conditionalFormatting>
  <conditionalFormatting sqref="H15:H24">
    <cfRule type="expression" dxfId="3" priority="19">
      <formula>H15="Abierto"</formula>
    </cfRule>
  </conditionalFormatting>
  <conditionalFormatting sqref="H15:H24">
    <cfRule type="expression" dxfId="3" priority="20">
      <formula>H15="R"</formula>
    </cfRule>
  </conditionalFormatting>
  <conditionalFormatting sqref="H15:H24">
    <cfRule type="expression" dxfId="4" priority="21">
      <formula>H15="Anulado"</formula>
    </cfRule>
  </conditionalFormatting>
  <conditionalFormatting sqref="H15:H24">
    <cfRule type="expression" dxfId="4" priority="22">
      <formula>H15="Descartada"</formula>
    </cfRule>
  </conditionalFormatting>
  <conditionalFormatting sqref="H15:H24">
    <cfRule type="expression" dxfId="4" priority="23">
      <formula>H15="No aplica"</formula>
    </cfRule>
  </conditionalFormatting>
  <conditionalFormatting sqref="AD15:AD24">
    <cfRule type="expression" dxfId="0" priority="24">
      <formula>AD15="Hecho"</formula>
    </cfRule>
  </conditionalFormatting>
  <conditionalFormatting sqref="AD15:AD24">
    <cfRule type="expression" dxfId="0" priority="25">
      <formula>AD15="Aprobado"</formula>
    </cfRule>
  </conditionalFormatting>
  <conditionalFormatting sqref="AD15:AD24">
    <cfRule type="expression" dxfId="0" priority="26">
      <formula>AD15="Cerrado"</formula>
    </cfRule>
  </conditionalFormatting>
  <conditionalFormatting sqref="AD15:AD24">
    <cfRule type="expression" dxfId="0" priority="27">
      <formula>AD15="Implementado"</formula>
    </cfRule>
  </conditionalFormatting>
  <conditionalFormatting sqref="AD15:AD24">
    <cfRule type="expression" dxfId="0" priority="28">
      <formula>AD15="Terminado"</formula>
    </cfRule>
  </conditionalFormatting>
  <conditionalFormatting sqref="AD15:AD24">
    <cfRule type="expression" dxfId="0" priority="29">
      <formula>AD15="Aplicado"</formula>
    </cfRule>
  </conditionalFormatting>
  <conditionalFormatting sqref="AD15:AD24">
    <cfRule type="expression" dxfId="0" priority="30">
      <formula>AD15="A"</formula>
    </cfRule>
  </conditionalFormatting>
  <conditionalFormatting sqref="AD15:AD24">
    <cfRule type="expression" dxfId="1" priority="31">
      <formula>AD15="En curso"</formula>
    </cfRule>
  </conditionalFormatting>
  <conditionalFormatting sqref="AD15:AD24">
    <cfRule type="expression" dxfId="1" priority="32">
      <formula>AD15="Pendiente"</formula>
    </cfRule>
  </conditionalFormatting>
  <conditionalFormatting sqref="AD15:AD24">
    <cfRule type="expression" dxfId="1" priority="33">
      <formula>AD15="Corregido"</formula>
    </cfRule>
  </conditionalFormatting>
  <conditionalFormatting sqref="AD15:AD24">
    <cfRule type="expression" dxfId="1" priority="34">
      <formula>AD15="En desarrollo"</formula>
    </cfRule>
  </conditionalFormatting>
  <conditionalFormatting sqref="AD15:AD24">
    <cfRule type="expression" dxfId="1" priority="35">
      <formula>AD15="En evaluación"</formula>
    </cfRule>
  </conditionalFormatting>
  <conditionalFormatting sqref="AD15:AD24">
    <cfRule type="expression" dxfId="1" priority="36">
      <formula>AD15="En ejecución"</formula>
    </cfRule>
  </conditionalFormatting>
  <conditionalFormatting sqref="AD15:AD24">
    <cfRule type="expression" dxfId="1" priority="37">
      <formula>AD15="Prueba de concepto"</formula>
    </cfRule>
  </conditionalFormatting>
  <conditionalFormatting sqref="AD15:AD24">
    <cfRule type="expression" dxfId="2" priority="38">
      <formula>AD15="Por hacer"</formula>
    </cfRule>
  </conditionalFormatting>
  <conditionalFormatting sqref="AD15:AD24">
    <cfRule type="expression" dxfId="2" priority="39">
      <formula>AD15="Planificado"</formula>
    </cfRule>
  </conditionalFormatting>
  <conditionalFormatting sqref="AD15:AD24">
    <cfRule type="expression" dxfId="2" priority="40">
      <formula>AD15="Diseñado"</formula>
    </cfRule>
  </conditionalFormatting>
  <conditionalFormatting sqref="AD15:AD24">
    <cfRule type="expression" dxfId="3" priority="41">
      <formula>AD15="Fallido"</formula>
    </cfRule>
  </conditionalFormatting>
  <conditionalFormatting sqref="AD15:AD24">
    <cfRule type="expression" dxfId="3" priority="42">
      <formula>AD15="Abierto"</formula>
    </cfRule>
  </conditionalFormatting>
  <conditionalFormatting sqref="AD15:AD24">
    <cfRule type="expression" dxfId="3" priority="43">
      <formula>AD15="R"</formula>
    </cfRule>
  </conditionalFormatting>
  <conditionalFormatting sqref="AD15:AD24">
    <cfRule type="expression" dxfId="4" priority="44">
      <formula>AD15="Anulado"</formula>
    </cfRule>
  </conditionalFormatting>
  <conditionalFormatting sqref="AD15:AD24">
    <cfRule type="expression" dxfId="4" priority="45">
      <formula>AD15="Descartada"</formula>
    </cfRule>
  </conditionalFormatting>
  <conditionalFormatting sqref="AD15:AD24">
    <cfRule type="expression" dxfId="4" priority="46">
      <formula>AD15="No aplica"</formula>
    </cfRule>
  </conditionalFormatting>
  <conditionalFormatting sqref="J15:AC24">
    <cfRule type="expression" dxfId="0" priority="47">
      <formula>J15="✔"</formula>
    </cfRule>
  </conditionalFormatting>
  <dataValidations>
    <dataValidation type="list" allowBlank="1" sqref="AD15:AD24">
      <formula1>"A,R"</formula1>
    </dataValidation>
    <dataValidation type="list" allowBlank="1" sqref="H15:H24">
      <formula1>"Por hacer,En curso,Hecho,Descartada"</formula1>
    </dataValidation>
  </dataValidations>
  <printOptions/>
  <pageMargins bottom="0.5" footer="0.0" header="0.0" left="0.4" right="0.4" top="0.5"/>
  <pageSetup fitToHeight="0"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3" width="40.0"/>
    <col customWidth="1" min="4" max="6" width="8.71"/>
  </cols>
  <sheetData>
    <row r="1" ht="18.0" customHeight="1">
      <c r="A1" s="1" t="s">
        <v>829</v>
      </c>
    </row>
    <row r="2">
      <c r="A2" s="2"/>
    </row>
    <row r="4" ht="18.75" customHeight="1">
      <c r="A4" s="3" t="s">
        <v>831</v>
      </c>
      <c r="B4" s="3" t="s">
        <v>832</v>
      </c>
      <c r="C4" s="3" t="s">
        <v>833</v>
      </c>
    </row>
    <row r="5" ht="60.0" customHeight="1">
      <c r="A5" s="77" t="s">
        <v>835</v>
      </c>
      <c r="B5" s="79" t="s">
        <v>839</v>
      </c>
      <c r="C5" s="80" t="s">
        <v>841</v>
      </c>
    </row>
    <row r="6" ht="45.0" customHeight="1">
      <c r="A6" s="77" t="s">
        <v>842</v>
      </c>
      <c r="B6" s="79" t="s">
        <v>843</v>
      </c>
      <c r="C6" s="80" t="s">
        <v>844</v>
      </c>
    </row>
    <row r="7" ht="45.0" customHeight="1">
      <c r="A7" s="77" t="s">
        <v>845</v>
      </c>
      <c r="B7" s="79" t="s">
        <v>846</v>
      </c>
      <c r="C7" s="80" t="s">
        <v>847</v>
      </c>
    </row>
    <row r="8" ht="45.0" customHeight="1">
      <c r="A8" s="77" t="s">
        <v>848</v>
      </c>
      <c r="B8" s="79" t="s">
        <v>849</v>
      </c>
      <c r="C8" s="80" t="s">
        <v>850</v>
      </c>
    </row>
    <row r="9" ht="60.0" customHeight="1">
      <c r="A9" s="77" t="s">
        <v>851</v>
      </c>
      <c r="B9" s="79" t="s">
        <v>852</v>
      </c>
      <c r="C9" s="80" t="s">
        <v>853</v>
      </c>
    </row>
    <row r="10" ht="45.0" customHeight="1">
      <c r="A10" s="77" t="s">
        <v>854</v>
      </c>
      <c r="B10" s="81"/>
      <c r="C10" s="80" t="s">
        <v>855</v>
      </c>
    </row>
    <row r="11" ht="45.0" customHeight="1">
      <c r="A11" s="77" t="s">
        <v>856</v>
      </c>
      <c r="B11" s="81"/>
      <c r="C11" s="80" t="s">
        <v>857</v>
      </c>
    </row>
    <row r="12" ht="45.0" customHeight="1">
      <c r="A12" s="77" t="s">
        <v>858</v>
      </c>
      <c r="B12" s="81"/>
      <c r="C12" s="80" t="s">
        <v>859</v>
      </c>
    </row>
    <row r="13" ht="45.0" customHeight="1">
      <c r="A13" s="77" t="s">
        <v>860</v>
      </c>
      <c r="B13" s="81"/>
      <c r="C13" s="80" t="s">
        <v>861</v>
      </c>
    </row>
    <row r="14" ht="45.0" customHeight="1">
      <c r="A14" s="77" t="s">
        <v>863</v>
      </c>
      <c r="B14" s="81"/>
      <c r="C14" s="80" t="s">
        <v>864</v>
      </c>
    </row>
    <row r="15" ht="45.0" customHeight="1">
      <c r="A15" s="77" t="s">
        <v>865</v>
      </c>
      <c r="B15" s="81"/>
      <c r="C15" s="80" t="s">
        <v>866</v>
      </c>
    </row>
    <row r="16" ht="45.0" customHeight="1">
      <c r="A16" s="81"/>
      <c r="B16" s="81"/>
      <c r="C16" s="80" t="s">
        <v>867</v>
      </c>
    </row>
    <row r="17" ht="45.0" customHeight="1">
      <c r="A17" s="81"/>
      <c r="B17" s="81"/>
      <c r="C17" s="80" t="s">
        <v>868</v>
      </c>
    </row>
    <row r="18" ht="45.0" customHeight="1">
      <c r="A18" s="81"/>
      <c r="B18" s="81"/>
      <c r="C18" s="80" t="s">
        <v>870</v>
      </c>
    </row>
    <row r="19" ht="45.0" customHeight="1">
      <c r="A19" s="81"/>
      <c r="B19" s="81"/>
      <c r="C19" s="80" t="s">
        <v>871</v>
      </c>
    </row>
    <row r="20" ht="45.0" customHeight="1">
      <c r="A20" s="81"/>
      <c r="B20" s="81"/>
      <c r="C20" s="80" t="s">
        <v>872</v>
      </c>
    </row>
    <row r="21" ht="45.0" customHeight="1">
      <c r="A21" s="81"/>
      <c r="B21" s="81"/>
      <c r="C21" s="80" t="s">
        <v>874</v>
      </c>
    </row>
    <row r="22" ht="15.75" customHeight="1">
      <c r="A22" s="81"/>
      <c r="B22" s="81"/>
      <c r="C22" s="81"/>
    </row>
    <row r="23" ht="15.75" customHeight="1">
      <c r="A23" s="81"/>
      <c r="B23" s="81"/>
      <c r="C23" s="81"/>
    </row>
    <row r="24" ht="15.75" customHeight="1">
      <c r="A24" s="81"/>
      <c r="B24" s="81"/>
      <c r="C24" s="81"/>
    </row>
    <row r="25" ht="15.75" customHeight="1">
      <c r="A25" s="81"/>
      <c r="B25" s="81"/>
      <c r="C25" s="81"/>
    </row>
    <row r="26" ht="15.75" customHeight="1">
      <c r="A26" s="81"/>
      <c r="B26" s="81"/>
      <c r="C26" s="81"/>
    </row>
    <row r="27" ht="15.75" customHeight="1">
      <c r="A27" s="81"/>
      <c r="B27" s="81"/>
      <c r="C27" s="81"/>
    </row>
    <row r="28" ht="15.75" customHeight="1">
      <c r="A28" s="81"/>
      <c r="B28" s="81"/>
      <c r="C28" s="81"/>
    </row>
    <row r="29" ht="15.75" customHeight="1">
      <c r="A29" s="81"/>
      <c r="B29" s="81"/>
      <c r="C29" s="81"/>
    </row>
    <row r="30" ht="15.75" customHeight="1">
      <c r="A30" s="81"/>
      <c r="B30" s="81"/>
      <c r="C30" s="81"/>
    </row>
    <row r="31" ht="15.75" customHeight="1">
      <c r="A31" s="81"/>
      <c r="B31" s="81"/>
      <c r="C31" s="81"/>
    </row>
    <row r="32" ht="15.75" customHeight="1">
      <c r="A32" s="81"/>
      <c r="B32" s="81"/>
      <c r="C32" s="81"/>
    </row>
    <row r="33" ht="15.75" customHeight="1">
      <c r="A33" s="81"/>
      <c r="B33" s="81"/>
      <c r="C33" s="81"/>
    </row>
    <row r="34" ht="15.75" customHeight="1">
      <c r="A34" s="81"/>
      <c r="B34" s="81"/>
      <c r="C34" s="81"/>
    </row>
    <row r="35" ht="15.75" customHeight="1">
      <c r="A35" s="81"/>
      <c r="B35" s="81"/>
      <c r="C35" s="81"/>
    </row>
    <row r="36" ht="15.75" customHeight="1">
      <c r="A36" s="81"/>
      <c r="B36" s="81"/>
      <c r="C36" s="81"/>
    </row>
    <row r="37" ht="15.75" customHeight="1">
      <c r="A37" s="81"/>
      <c r="B37" s="81"/>
      <c r="C37" s="81"/>
    </row>
    <row r="38" ht="15.75" customHeight="1">
      <c r="A38" s="81"/>
      <c r="B38" s="81"/>
      <c r="C38" s="81"/>
    </row>
    <row r="39" ht="15.75" customHeight="1">
      <c r="A39" s="81"/>
      <c r="B39" s="81"/>
      <c r="C39" s="81"/>
    </row>
    <row r="40" ht="15.75" customHeight="1">
      <c r="A40" s="81"/>
      <c r="B40" s="81"/>
      <c r="C40" s="81"/>
    </row>
    <row r="41" ht="15.75" customHeight="1">
      <c r="A41" s="81"/>
      <c r="B41" s="81"/>
      <c r="C41" s="81"/>
    </row>
    <row r="42" ht="15.75" customHeight="1">
      <c r="A42" s="81"/>
      <c r="B42" s="81"/>
      <c r="C42" s="81"/>
    </row>
    <row r="43" ht="15.75" customHeight="1">
      <c r="A43" s="81"/>
      <c r="B43" s="81"/>
      <c r="C43" s="81"/>
    </row>
    <row r="44" ht="15.75" customHeight="1">
      <c r="A44" s="81"/>
      <c r="B44" s="81"/>
      <c r="C44" s="81"/>
    </row>
    <row r="45" ht="15.75" customHeight="1">
      <c r="A45" s="81"/>
      <c r="B45" s="81"/>
      <c r="C45" s="81"/>
    </row>
    <row r="46" ht="15.75" customHeight="1">
      <c r="A46" s="81"/>
      <c r="B46" s="81"/>
      <c r="C46" s="81"/>
    </row>
    <row r="47" ht="15.75" customHeight="1">
      <c r="A47" s="81"/>
      <c r="B47" s="81"/>
      <c r="C47" s="81"/>
    </row>
    <row r="48" ht="15.75" customHeight="1">
      <c r="A48" s="81"/>
      <c r="B48" s="81"/>
      <c r="C48" s="81"/>
    </row>
    <row r="49" ht="15.75" customHeight="1">
      <c r="A49" s="81"/>
      <c r="B49" s="81"/>
      <c r="C49" s="81"/>
    </row>
    <row r="50" ht="15.75" customHeight="1">
      <c r="A50" s="81"/>
      <c r="B50" s="81"/>
      <c r="C50" s="81"/>
    </row>
    <row r="51" ht="15.75" customHeight="1">
      <c r="A51" s="81"/>
      <c r="B51" s="81"/>
      <c r="C51" s="81"/>
    </row>
    <row r="52" ht="15.75" customHeight="1">
      <c r="A52" s="81"/>
      <c r="B52" s="81"/>
      <c r="C52" s="81"/>
    </row>
    <row r="53" ht="15.75" customHeight="1">
      <c r="A53" s="81"/>
      <c r="B53" s="81"/>
      <c r="C53" s="81"/>
    </row>
    <row r="54" ht="15.75" customHeight="1">
      <c r="A54" s="81"/>
      <c r="B54" s="81"/>
      <c r="C54" s="81"/>
    </row>
    <row r="55" ht="15.75" customHeight="1">
      <c r="A55" s="81"/>
      <c r="B55" s="81"/>
      <c r="C55" s="81"/>
    </row>
    <row r="56" ht="15.75" customHeight="1">
      <c r="A56" s="81"/>
      <c r="B56" s="81"/>
      <c r="C56" s="81"/>
    </row>
    <row r="57" ht="15.75" customHeight="1">
      <c r="A57" s="81"/>
      <c r="B57" s="81"/>
      <c r="C57" s="81"/>
    </row>
    <row r="58" ht="15.75" customHeight="1">
      <c r="A58" s="81"/>
      <c r="B58" s="81"/>
      <c r="C58" s="81"/>
    </row>
    <row r="59" ht="15.75" customHeight="1">
      <c r="A59" s="81"/>
      <c r="B59" s="81"/>
      <c r="C59" s="81"/>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5" footer="0.0" header="0.0" left="0.4" right="0.4" top="0.5"/>
  <pageSetup fitToHeight="0"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6.0"/>
    <col customWidth="1" min="3" max="3" width="52.0"/>
    <col customWidth="1" min="4" max="4" width="16.0"/>
    <col customWidth="1" min="5" max="5" width="28.0"/>
    <col customWidth="1" min="6" max="7" width="20.0"/>
  </cols>
  <sheetData>
    <row r="1" ht="18.0" customHeight="1">
      <c r="A1" s="1" t="s">
        <v>920</v>
      </c>
    </row>
    <row r="2">
      <c r="A2" s="2"/>
    </row>
    <row r="4" ht="18.75" customHeight="1">
      <c r="A4" s="3" t="s">
        <v>836</v>
      </c>
      <c r="B4" s="3" t="s">
        <v>834</v>
      </c>
      <c r="C4" s="3" t="s">
        <v>921</v>
      </c>
      <c r="D4" s="3" t="s">
        <v>922</v>
      </c>
      <c r="E4" s="3" t="s">
        <v>923</v>
      </c>
      <c r="F4" s="3" t="s">
        <v>924</v>
      </c>
      <c r="G4" s="3" t="s">
        <v>925</v>
      </c>
    </row>
    <row r="5" ht="30.75" customHeight="1">
      <c r="A5" s="68">
        <v>46289.0</v>
      </c>
      <c r="B5" s="16" t="s">
        <v>926</v>
      </c>
      <c r="C5" s="6" t="s">
        <v>927</v>
      </c>
      <c r="D5" s="83"/>
      <c r="E5" s="83"/>
      <c r="F5" s="83"/>
      <c r="G5" s="83"/>
    </row>
    <row r="6" ht="17.25" customHeight="1">
      <c r="A6" s="70">
        <v>46290.0</v>
      </c>
      <c r="B6" s="24" t="s">
        <v>928</v>
      </c>
      <c r="C6" s="11" t="s">
        <v>929</v>
      </c>
      <c r="D6" s="83"/>
      <c r="E6" s="83"/>
      <c r="F6" s="83"/>
      <c r="G6" s="83"/>
    </row>
    <row r="7" ht="17.25" customHeight="1">
      <c r="A7" s="68">
        <v>46291.0</v>
      </c>
      <c r="B7" s="16" t="s">
        <v>930</v>
      </c>
      <c r="C7" s="6" t="s">
        <v>931</v>
      </c>
      <c r="D7" s="83"/>
      <c r="E7" s="83"/>
      <c r="F7" s="83"/>
      <c r="G7" s="83"/>
    </row>
    <row r="8" ht="30.75" customHeight="1">
      <c r="A8" s="70">
        <v>46292.0</v>
      </c>
      <c r="B8" s="24" t="s">
        <v>932</v>
      </c>
      <c r="C8" s="11" t="s">
        <v>933</v>
      </c>
      <c r="D8" s="83"/>
      <c r="E8" s="83"/>
      <c r="F8" s="83"/>
      <c r="G8" s="83"/>
    </row>
    <row r="9" ht="99.0" customHeight="1">
      <c r="A9" s="68">
        <v>46293.0</v>
      </c>
      <c r="B9" s="16" t="s">
        <v>934</v>
      </c>
      <c r="C9" s="6" t="s">
        <v>935</v>
      </c>
      <c r="D9" s="83"/>
      <c r="E9" s="83"/>
      <c r="F9" s="83"/>
      <c r="G9" s="83"/>
    </row>
    <row r="10" ht="153.0" customHeight="1">
      <c r="A10" s="70">
        <v>46294.0</v>
      </c>
      <c r="B10" s="24" t="s">
        <v>936</v>
      </c>
      <c r="C10" s="11" t="s">
        <v>937</v>
      </c>
      <c r="D10" s="83"/>
      <c r="E10" s="83"/>
      <c r="F10" s="83"/>
      <c r="G10" s="83"/>
    </row>
    <row r="11" ht="99.0" customHeight="1">
      <c r="A11" s="68">
        <v>46295.0</v>
      </c>
      <c r="B11" s="16" t="s">
        <v>938</v>
      </c>
      <c r="C11" s="6" t="s">
        <v>939</v>
      </c>
      <c r="D11" s="83"/>
      <c r="E11" s="83"/>
      <c r="F11" s="83"/>
      <c r="G11" s="83"/>
    </row>
    <row r="12" ht="30.75" customHeight="1">
      <c r="A12" s="70">
        <v>46296.0</v>
      </c>
      <c r="B12" s="24" t="s">
        <v>926</v>
      </c>
      <c r="C12" s="11" t="s">
        <v>940</v>
      </c>
      <c r="D12" s="83"/>
      <c r="E12" s="83"/>
      <c r="F12" s="83"/>
      <c r="G12" s="83"/>
    </row>
    <row r="13" ht="30.75" customHeight="1">
      <c r="A13" s="68">
        <v>46297.0</v>
      </c>
      <c r="B13" s="16" t="s">
        <v>928</v>
      </c>
      <c r="C13" s="6" t="s">
        <v>941</v>
      </c>
      <c r="D13" s="83"/>
      <c r="E13" s="83"/>
      <c r="F13" s="83"/>
      <c r="G13" s="83"/>
    </row>
    <row r="14" ht="153.0" customHeight="1">
      <c r="A14" s="70">
        <v>46298.0</v>
      </c>
      <c r="B14" s="24" t="s">
        <v>930</v>
      </c>
      <c r="C14" s="11" t="s">
        <v>942</v>
      </c>
      <c r="D14" s="83"/>
      <c r="E14" s="83"/>
      <c r="F14" s="83"/>
      <c r="G14" s="83"/>
    </row>
    <row r="15" ht="57.75" customHeight="1">
      <c r="A15" s="68">
        <v>46299.0</v>
      </c>
      <c r="B15" s="16" t="s">
        <v>932</v>
      </c>
      <c r="C15" s="6" t="s">
        <v>943</v>
      </c>
      <c r="D15" s="83"/>
      <c r="E15" s="83"/>
      <c r="F15" s="83"/>
      <c r="G15" s="83"/>
    </row>
    <row r="16" ht="17.25" customHeight="1">
      <c r="A16" s="70">
        <v>46300.0</v>
      </c>
      <c r="B16" s="24" t="s">
        <v>934</v>
      </c>
      <c r="C16" s="11"/>
      <c r="D16" s="11"/>
      <c r="E16" s="11"/>
      <c r="F16" s="11"/>
      <c r="G16" s="11"/>
    </row>
    <row r="17" ht="17.25" customHeight="1">
      <c r="A17" s="68">
        <v>46301.0</v>
      </c>
      <c r="B17" s="16" t="s">
        <v>936</v>
      </c>
      <c r="C17" s="6"/>
      <c r="D17" s="6"/>
      <c r="E17" s="6"/>
      <c r="F17" s="6"/>
      <c r="G17" s="6"/>
    </row>
    <row r="18" ht="17.25" customHeight="1">
      <c r="A18" s="70">
        <v>46302.0</v>
      </c>
      <c r="B18" s="24" t="s">
        <v>938</v>
      </c>
      <c r="C18" s="11"/>
      <c r="D18" s="11"/>
      <c r="E18" s="11"/>
      <c r="F18" s="11"/>
      <c r="G18" s="11"/>
    </row>
    <row r="19" ht="17.25" customHeight="1">
      <c r="A19" s="68">
        <v>46303.0</v>
      </c>
      <c r="B19" s="16" t="s">
        <v>926</v>
      </c>
      <c r="C19" s="6"/>
      <c r="D19" s="6"/>
      <c r="E19" s="6"/>
      <c r="F19" s="6"/>
      <c r="G19" s="6"/>
    </row>
    <row r="20" ht="17.25" customHeight="1">
      <c r="A20" s="70">
        <v>46304.0</v>
      </c>
      <c r="B20" s="24" t="s">
        <v>928</v>
      </c>
      <c r="C20" s="11"/>
      <c r="D20" s="11"/>
      <c r="E20" s="11"/>
      <c r="F20" s="11"/>
      <c r="G20" s="11"/>
    </row>
    <row r="21" ht="17.25" customHeight="1">
      <c r="A21" s="68">
        <v>46305.0</v>
      </c>
      <c r="B21" s="16" t="s">
        <v>930</v>
      </c>
      <c r="C21" s="6"/>
      <c r="D21" s="6"/>
      <c r="E21" s="6"/>
      <c r="F21" s="6"/>
      <c r="G21" s="6"/>
    </row>
    <row r="22" ht="17.25" customHeight="1">
      <c r="A22" s="70">
        <v>46306.0</v>
      </c>
      <c r="B22" s="24" t="s">
        <v>932</v>
      </c>
      <c r="C22" s="11"/>
      <c r="D22" s="11"/>
      <c r="E22" s="11"/>
      <c r="F22" s="11"/>
      <c r="G22" s="11"/>
    </row>
    <row r="23" ht="17.25" customHeight="1">
      <c r="A23" s="68">
        <v>46307.0</v>
      </c>
      <c r="B23" s="16" t="s">
        <v>934</v>
      </c>
      <c r="C23" s="6"/>
      <c r="D23" s="6"/>
      <c r="E23" s="6"/>
      <c r="F23" s="6"/>
      <c r="G23" s="6"/>
    </row>
    <row r="24" ht="17.25" customHeight="1">
      <c r="A24" s="70">
        <v>46308.0</v>
      </c>
      <c r="B24" s="24" t="s">
        <v>936</v>
      </c>
      <c r="C24" s="11"/>
      <c r="D24" s="11"/>
      <c r="E24" s="11"/>
      <c r="F24" s="11"/>
      <c r="G24" s="11"/>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5" footer="0.0" header="0.0" left="0.4" right="0.4" top="0.5"/>
  <pageSetup fitToHeight="0"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0"/>
    <col customWidth="1" min="2" max="2" width="12.71"/>
    <col customWidth="1" min="3" max="3" width="46.29"/>
    <col customWidth="1" min="4" max="4" width="15.86"/>
    <col customWidth="1" min="5" max="5" width="18.0"/>
    <col customWidth="1" min="6" max="6" width="42.0"/>
    <col customWidth="1" min="7" max="7" width="21.86"/>
    <col customWidth="1" min="8" max="8" width="10.0"/>
  </cols>
  <sheetData>
    <row r="1" ht="18.0" customHeight="1">
      <c r="A1" s="1" t="s">
        <v>133</v>
      </c>
    </row>
    <row r="2">
      <c r="A2" s="2"/>
    </row>
    <row r="4" ht="33.75" customHeight="1">
      <c r="A4" s="3" t="s">
        <v>7</v>
      </c>
      <c r="B4" s="3" t="s">
        <v>944</v>
      </c>
      <c r="C4" s="3" t="s">
        <v>945</v>
      </c>
      <c r="D4" s="3" t="s">
        <v>946</v>
      </c>
      <c r="E4" s="3" t="s">
        <v>97</v>
      </c>
      <c r="F4" s="3" t="s">
        <v>947</v>
      </c>
      <c r="G4" s="3" t="s">
        <v>339</v>
      </c>
      <c r="H4" s="3" t="s">
        <v>948</v>
      </c>
    </row>
    <row r="5" ht="56.25" customHeight="1">
      <c r="A5" s="5" t="s">
        <v>949</v>
      </c>
      <c r="B5" s="44">
        <v>46293.0</v>
      </c>
      <c r="C5" s="6" t="s">
        <v>950</v>
      </c>
      <c r="D5" s="6" t="s">
        <v>951</v>
      </c>
      <c r="E5" s="6" t="s">
        <v>19</v>
      </c>
      <c r="F5" s="6" t="s">
        <v>952</v>
      </c>
      <c r="G5" s="16" t="s">
        <v>953</v>
      </c>
      <c r="H5" s="16"/>
    </row>
    <row r="6" ht="56.25" customHeight="1">
      <c r="A6" s="10" t="s">
        <v>954</v>
      </c>
      <c r="B6" s="45">
        <v>46293.0</v>
      </c>
      <c r="C6" s="11" t="s">
        <v>955</v>
      </c>
      <c r="D6" s="11" t="s">
        <v>392</v>
      </c>
      <c r="E6" s="11" t="s">
        <v>19</v>
      </c>
      <c r="F6" s="11" t="s">
        <v>956</v>
      </c>
      <c r="G6" s="24" t="s">
        <v>957</v>
      </c>
      <c r="H6" s="24"/>
    </row>
    <row r="7" ht="30.75" customHeight="1">
      <c r="A7" s="5" t="s">
        <v>958</v>
      </c>
      <c r="B7" s="44">
        <v>46293.0</v>
      </c>
      <c r="C7" s="6" t="s">
        <v>959</v>
      </c>
      <c r="D7" s="6" t="s">
        <v>392</v>
      </c>
      <c r="E7" s="6" t="s">
        <v>30</v>
      </c>
      <c r="F7" s="6" t="s">
        <v>960</v>
      </c>
      <c r="G7" s="16" t="s">
        <v>961</v>
      </c>
      <c r="H7" s="68">
        <v>46296.0</v>
      </c>
    </row>
    <row r="8" ht="53.25" customHeight="1">
      <c r="A8" s="10" t="s">
        <v>962</v>
      </c>
      <c r="B8" s="45">
        <v>46293.0</v>
      </c>
      <c r="C8" s="11" t="s">
        <v>963</v>
      </c>
      <c r="D8" s="11" t="s">
        <v>452</v>
      </c>
      <c r="E8" s="11" t="s">
        <v>19</v>
      </c>
      <c r="F8" s="11" t="s">
        <v>964</v>
      </c>
      <c r="G8" s="16" t="s">
        <v>961</v>
      </c>
      <c r="H8" s="84">
        <v>46293.0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5:G8">
    <cfRule type="expression" dxfId="0" priority="1">
      <formula>G5="Hecho"</formula>
    </cfRule>
  </conditionalFormatting>
  <conditionalFormatting sqref="G5:G8">
    <cfRule type="expression" dxfId="0" priority="2">
      <formula>G5="Aprobado"</formula>
    </cfRule>
  </conditionalFormatting>
  <conditionalFormatting sqref="G5:G8">
    <cfRule type="expression" dxfId="0" priority="3">
      <formula>G5="Cerrado"</formula>
    </cfRule>
  </conditionalFormatting>
  <conditionalFormatting sqref="G5:G8">
    <cfRule type="expression" dxfId="0" priority="4">
      <formula>G5="Implementado"</formula>
    </cfRule>
  </conditionalFormatting>
  <conditionalFormatting sqref="G5:G8">
    <cfRule type="expression" dxfId="0" priority="5">
      <formula>G5="Terminado"</formula>
    </cfRule>
  </conditionalFormatting>
  <conditionalFormatting sqref="G5:G8">
    <cfRule type="expression" dxfId="0" priority="6">
      <formula>G5="Aplicado"</formula>
    </cfRule>
  </conditionalFormatting>
  <conditionalFormatting sqref="G5:G8">
    <cfRule type="expression" dxfId="0" priority="7">
      <formula>G5="A"</formula>
    </cfRule>
  </conditionalFormatting>
  <conditionalFormatting sqref="G5:G8">
    <cfRule type="expression" dxfId="1" priority="8">
      <formula>G5="En curso"</formula>
    </cfRule>
  </conditionalFormatting>
  <conditionalFormatting sqref="G5:G8">
    <cfRule type="expression" dxfId="1" priority="9">
      <formula>G5="Pendiente"</formula>
    </cfRule>
  </conditionalFormatting>
  <conditionalFormatting sqref="G5:G8">
    <cfRule type="expression" dxfId="1" priority="10">
      <formula>G5="Corregido"</formula>
    </cfRule>
  </conditionalFormatting>
  <conditionalFormatting sqref="G5:G8">
    <cfRule type="expression" dxfId="1" priority="11">
      <formula>G5="En desarrollo"</formula>
    </cfRule>
  </conditionalFormatting>
  <conditionalFormatting sqref="G5:G8">
    <cfRule type="expression" dxfId="1" priority="12">
      <formula>G5="En evaluación"</formula>
    </cfRule>
  </conditionalFormatting>
  <conditionalFormatting sqref="G5:G8">
    <cfRule type="expression" dxfId="1" priority="13">
      <formula>G5="En ejecución"</formula>
    </cfRule>
  </conditionalFormatting>
  <conditionalFormatting sqref="G5:G8">
    <cfRule type="expression" dxfId="1" priority="14">
      <formula>G5="Prueba de concepto"</formula>
    </cfRule>
  </conditionalFormatting>
  <conditionalFormatting sqref="G5:G8">
    <cfRule type="expression" dxfId="2" priority="15">
      <formula>G5="Por hacer"</formula>
    </cfRule>
  </conditionalFormatting>
  <conditionalFormatting sqref="G5:G8">
    <cfRule type="expression" dxfId="2" priority="16">
      <formula>G5="Planificado"</formula>
    </cfRule>
  </conditionalFormatting>
  <conditionalFormatting sqref="G5:G8">
    <cfRule type="expression" dxfId="2" priority="17">
      <formula>G5="Diseñado"</formula>
    </cfRule>
  </conditionalFormatting>
  <conditionalFormatting sqref="G5:G8">
    <cfRule type="expression" dxfId="3" priority="18">
      <formula>G5="Fallido"</formula>
    </cfRule>
  </conditionalFormatting>
  <conditionalFormatting sqref="G5:G8">
    <cfRule type="expression" dxfId="3" priority="19">
      <formula>G5="Abierto"</formula>
    </cfRule>
  </conditionalFormatting>
  <conditionalFormatting sqref="G5:G8">
    <cfRule type="expression" dxfId="3" priority="20">
      <formula>G5="R"</formula>
    </cfRule>
  </conditionalFormatting>
  <conditionalFormatting sqref="G5:G8">
    <cfRule type="expression" dxfId="4" priority="21">
      <formula>G5="Anulado"</formula>
    </cfRule>
  </conditionalFormatting>
  <conditionalFormatting sqref="G5:G8">
    <cfRule type="expression" dxfId="4" priority="22">
      <formula>G5="Descartada"</formula>
    </cfRule>
  </conditionalFormatting>
  <conditionalFormatting sqref="G5:G8">
    <cfRule type="expression" dxfId="4" priority="23">
      <formula>G5="No aplica"</formula>
    </cfRule>
  </conditionalFormatting>
  <dataValidations>
    <dataValidation type="list" allowBlank="1" sqref="G5:G8">
      <formula1>"Abierto,En evaluación,Cerrado"</formula1>
    </dataValidation>
  </dataValidations>
  <printOptions/>
  <pageMargins bottom="0.5" footer="0.0" header="0.0" left="0.4" right="0.4" top="0.5"/>
  <pageSetup fitToHeight="0"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7.0"/>
    <col customWidth="1" min="2" max="2" width="8.0"/>
    <col customWidth="1" min="3" max="3" width="60.0"/>
    <col customWidth="1" min="4" max="4" width="16.0"/>
    <col customWidth="1" min="5" max="5" width="44.0"/>
    <col customWidth="1" min="6" max="6" width="8.71"/>
  </cols>
  <sheetData>
    <row r="1" ht="18.0" customHeight="1">
      <c r="A1" s="1" t="s">
        <v>965</v>
      </c>
    </row>
    <row r="2" ht="15.75" customHeight="1">
      <c r="A2" s="2"/>
    </row>
    <row r="4" ht="18.75" customHeight="1">
      <c r="A4" s="3" t="s">
        <v>637</v>
      </c>
      <c r="B4" s="3" t="s">
        <v>836</v>
      </c>
      <c r="C4" s="3" t="s">
        <v>622</v>
      </c>
      <c r="D4" s="3" t="s">
        <v>966</v>
      </c>
      <c r="E4" s="3" t="s">
        <v>967</v>
      </c>
    </row>
    <row r="5" ht="17.25" customHeight="1">
      <c r="A5" s="4">
        <v>1.0</v>
      </c>
      <c r="B5" s="68">
        <v>46261.0</v>
      </c>
      <c r="C5" s="6" t="s">
        <v>968</v>
      </c>
      <c r="D5" s="6" t="s">
        <v>969</v>
      </c>
      <c r="E5" s="6" t="s">
        <v>970</v>
      </c>
    </row>
    <row r="6" ht="17.25" customHeight="1">
      <c r="A6" s="4">
        <v>1.0</v>
      </c>
      <c r="B6" s="68">
        <v>46263.0</v>
      </c>
      <c r="C6" s="6" t="s">
        <v>971</v>
      </c>
      <c r="D6" s="6" t="s">
        <v>969</v>
      </c>
      <c r="E6" s="6" t="s">
        <v>972</v>
      </c>
    </row>
    <row r="7" ht="17.25" customHeight="1">
      <c r="A7" s="4">
        <v>1.0</v>
      </c>
      <c r="B7" s="68">
        <v>46265.0</v>
      </c>
      <c r="C7" s="6" t="s">
        <v>973</v>
      </c>
      <c r="D7" s="6" t="s">
        <v>969</v>
      </c>
      <c r="E7" s="6" t="s">
        <v>974</v>
      </c>
    </row>
    <row r="8" ht="17.25" customHeight="1">
      <c r="A8" s="9">
        <v>1.0</v>
      </c>
      <c r="B8" s="70">
        <v>46287.0</v>
      </c>
      <c r="C8" s="11" t="s">
        <v>975</v>
      </c>
      <c r="D8" s="11" t="s">
        <v>969</v>
      </c>
      <c r="E8" s="11" t="s">
        <v>976</v>
      </c>
    </row>
    <row r="9" ht="30.75" customHeight="1">
      <c r="A9" s="9">
        <v>1.0</v>
      </c>
      <c r="B9" s="70">
        <v>46288.0</v>
      </c>
      <c r="C9" s="11" t="s">
        <v>977</v>
      </c>
      <c r="D9" s="11" t="s">
        <v>978</v>
      </c>
      <c r="E9" s="11" t="s">
        <v>979</v>
      </c>
    </row>
    <row r="10" ht="30.75" customHeight="1">
      <c r="A10" s="9">
        <v>1.0</v>
      </c>
      <c r="B10" s="70">
        <v>46289.0</v>
      </c>
      <c r="C10" s="11" t="s">
        <v>980</v>
      </c>
      <c r="D10" s="11" t="s">
        <v>969</v>
      </c>
      <c r="E10" s="11" t="s">
        <v>981</v>
      </c>
    </row>
    <row r="11" ht="17.25" customHeight="1">
      <c r="A11" s="4">
        <v>3.0</v>
      </c>
      <c r="B11" s="68">
        <v>46290.0</v>
      </c>
      <c r="C11" s="6" t="s">
        <v>800</v>
      </c>
      <c r="D11" s="6" t="s">
        <v>801</v>
      </c>
      <c r="E11" s="6" t="s">
        <v>982</v>
      </c>
    </row>
    <row r="12" ht="17.25" customHeight="1">
      <c r="A12" s="4">
        <v>3.0</v>
      </c>
      <c r="B12" s="68">
        <v>46292.0</v>
      </c>
      <c r="C12" s="6" t="s">
        <v>803</v>
      </c>
      <c r="D12" s="6" t="s">
        <v>801</v>
      </c>
      <c r="E12" s="6" t="s">
        <v>982</v>
      </c>
    </row>
    <row r="13" ht="17.25" customHeight="1">
      <c r="A13" s="4">
        <v>3.0</v>
      </c>
      <c r="B13" s="68">
        <v>46293.0</v>
      </c>
      <c r="C13" s="6" t="s">
        <v>983</v>
      </c>
      <c r="D13" s="6" t="s">
        <v>984</v>
      </c>
      <c r="E13" s="6" t="s">
        <v>985</v>
      </c>
    </row>
    <row r="14" ht="17.25" customHeight="1">
      <c r="A14" s="4">
        <v>3.0</v>
      </c>
      <c r="B14" s="68">
        <v>46293.0</v>
      </c>
      <c r="C14" s="6" t="s">
        <v>986</v>
      </c>
      <c r="D14" s="6" t="s">
        <v>984</v>
      </c>
      <c r="E14" s="6" t="s">
        <v>987</v>
      </c>
    </row>
    <row r="15" ht="30.75" customHeight="1">
      <c r="A15" s="4">
        <v>4.0</v>
      </c>
      <c r="B15" s="68">
        <v>46293.0</v>
      </c>
      <c r="C15" s="6" t="s">
        <v>988</v>
      </c>
      <c r="D15" s="6" t="s">
        <v>989</v>
      </c>
      <c r="E15" s="6" t="s">
        <v>990</v>
      </c>
    </row>
    <row r="16" ht="17.25" customHeight="1">
      <c r="A16" s="4">
        <v>5.0</v>
      </c>
      <c r="B16" s="68">
        <v>46294.0</v>
      </c>
      <c r="C16" s="6" t="s">
        <v>991</v>
      </c>
      <c r="D16" s="6" t="s">
        <v>992</v>
      </c>
      <c r="E16" s="6" t="s">
        <v>993</v>
      </c>
    </row>
    <row r="17" ht="17.25" customHeight="1">
      <c r="A17" s="4">
        <v>5.0</v>
      </c>
      <c r="B17" s="68">
        <v>46294.0</v>
      </c>
      <c r="C17" s="6" t="s">
        <v>994</v>
      </c>
      <c r="D17" s="6" t="s">
        <v>992</v>
      </c>
      <c r="E17" s="6" t="s">
        <v>995</v>
      </c>
    </row>
    <row r="18" ht="17.25" customHeight="1">
      <c r="A18" s="4">
        <v>5.0</v>
      </c>
      <c r="B18" s="68">
        <v>46294.0</v>
      </c>
      <c r="C18" s="6" t="s">
        <v>996</v>
      </c>
      <c r="D18" s="6" t="s">
        <v>992</v>
      </c>
      <c r="E18" s="6" t="s">
        <v>997</v>
      </c>
    </row>
    <row r="19" ht="30.75" customHeight="1">
      <c r="A19" s="4">
        <v>4.0</v>
      </c>
      <c r="B19" s="68">
        <v>46294.0</v>
      </c>
      <c r="C19" s="6" t="s">
        <v>998</v>
      </c>
      <c r="D19" s="6" t="s">
        <v>999</v>
      </c>
      <c r="E19" s="6" t="s">
        <v>1000</v>
      </c>
    </row>
    <row r="20" ht="17.25" customHeight="1">
      <c r="A20" s="4">
        <v>5.0</v>
      </c>
      <c r="B20" s="68">
        <v>46294.0</v>
      </c>
      <c r="C20" s="6" t="s">
        <v>1001</v>
      </c>
      <c r="D20" s="6" t="s">
        <v>992</v>
      </c>
      <c r="E20" s="6" t="s">
        <v>1002</v>
      </c>
    </row>
    <row r="21" ht="30.75" customHeight="1">
      <c r="A21" s="4">
        <v>3.0</v>
      </c>
      <c r="B21" s="68">
        <v>46294.0</v>
      </c>
      <c r="C21" s="6" t="s">
        <v>1003</v>
      </c>
      <c r="D21" s="6" t="s">
        <v>1004</v>
      </c>
      <c r="E21" s="6" t="s">
        <v>1005</v>
      </c>
    </row>
    <row r="22" ht="30.75" customHeight="1">
      <c r="A22" s="4">
        <v>4.0</v>
      </c>
      <c r="B22" s="68">
        <v>46295.0</v>
      </c>
      <c r="C22" s="6" t="s">
        <v>1006</v>
      </c>
      <c r="D22" s="6" t="s">
        <v>1007</v>
      </c>
      <c r="E22" s="6" t="s">
        <v>1008</v>
      </c>
    </row>
    <row r="23" ht="30.75" customHeight="1">
      <c r="A23" s="4">
        <v>3.0</v>
      </c>
      <c r="B23" s="68">
        <v>46297.0</v>
      </c>
      <c r="C23" s="6" t="s">
        <v>1009</v>
      </c>
      <c r="D23" s="6" t="s">
        <v>984</v>
      </c>
      <c r="E23" s="6" t="s">
        <v>1010</v>
      </c>
    </row>
    <row r="24" ht="17.25" customHeight="1">
      <c r="A24" s="4">
        <v>3.0</v>
      </c>
      <c r="B24" s="68">
        <v>46297.0</v>
      </c>
      <c r="C24" s="6" t="s">
        <v>1011</v>
      </c>
      <c r="D24" s="6" t="s">
        <v>984</v>
      </c>
      <c r="E24" s="6" t="s">
        <v>1012</v>
      </c>
    </row>
    <row r="25" ht="30.75" customHeight="1">
      <c r="A25" s="4">
        <v>4.0</v>
      </c>
      <c r="B25" s="68">
        <v>46295.0</v>
      </c>
      <c r="C25" s="6" t="s">
        <v>1013</v>
      </c>
      <c r="D25" s="6" t="s">
        <v>999</v>
      </c>
      <c r="E25" s="6" t="s">
        <v>1014</v>
      </c>
    </row>
    <row r="26" ht="17.25" customHeight="1">
      <c r="A26" s="4">
        <v>4.0</v>
      </c>
      <c r="B26" s="68">
        <v>46297.0</v>
      </c>
      <c r="C26" s="6" t="s">
        <v>1015</v>
      </c>
      <c r="D26" s="6" t="s">
        <v>989</v>
      </c>
      <c r="E26" s="6" t="s">
        <v>1016</v>
      </c>
    </row>
    <row r="27" ht="30.75" customHeight="1">
      <c r="A27" s="4">
        <v>4.0</v>
      </c>
      <c r="B27" s="68">
        <v>46298.0</v>
      </c>
      <c r="C27" s="6" t="s">
        <v>1017</v>
      </c>
      <c r="D27" s="6" t="s">
        <v>992</v>
      </c>
      <c r="E27" s="6" t="s">
        <v>1018</v>
      </c>
    </row>
    <row r="28" ht="30.75" customHeight="1">
      <c r="A28" s="4">
        <v>5.0</v>
      </c>
      <c r="B28" s="68">
        <v>46298.0</v>
      </c>
      <c r="C28" s="6" t="s">
        <v>1019</v>
      </c>
      <c r="D28" s="6" t="s">
        <v>992</v>
      </c>
      <c r="E28" s="6" t="s">
        <v>1020</v>
      </c>
    </row>
    <row r="29" ht="17.25" customHeight="1">
      <c r="A29" s="4">
        <v>2.0</v>
      </c>
      <c r="B29" s="68">
        <v>46298.0</v>
      </c>
      <c r="C29" s="6" t="s">
        <v>1021</v>
      </c>
      <c r="D29" s="6" t="s">
        <v>992</v>
      </c>
      <c r="E29" s="6" t="s">
        <v>1022</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5" footer="0.0" header="0.0" left="0.4" right="0.4" top="0.5"/>
  <pageSetup fitToHeight="0"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7.0"/>
    <col customWidth="1" min="2" max="2" width="11.0"/>
    <col customWidth="1" min="3" max="3" width="20.0"/>
    <col customWidth="1" min="4" max="4" width="50.0"/>
    <col customWidth="1" min="5" max="5" width="40.0"/>
    <col customWidth="1" min="6" max="6" width="13.29"/>
  </cols>
  <sheetData>
    <row r="1" ht="18.0" customHeight="1">
      <c r="A1" s="1"/>
    </row>
    <row r="2">
      <c r="A2" s="2" t="s">
        <v>1023</v>
      </c>
    </row>
    <row r="4" ht="31.5" customHeight="1">
      <c r="A4" s="3" t="s">
        <v>637</v>
      </c>
      <c r="B4" s="3" t="s">
        <v>836</v>
      </c>
      <c r="C4" s="3" t="s">
        <v>922</v>
      </c>
      <c r="D4" s="3" t="s">
        <v>1024</v>
      </c>
      <c r="E4" s="3" t="s">
        <v>1025</v>
      </c>
      <c r="F4" s="3" t="s">
        <v>1026</v>
      </c>
    </row>
    <row r="5" ht="44.25" customHeight="1">
      <c r="A5" s="85" t="s">
        <v>1027</v>
      </c>
      <c r="B5" s="44">
        <v>46289.0</v>
      </c>
      <c r="C5" s="83"/>
      <c r="D5" s="6" t="s">
        <v>1028</v>
      </c>
      <c r="E5" s="83"/>
      <c r="F5" s="16" t="s">
        <v>802</v>
      </c>
    </row>
    <row r="6" ht="57.75" customHeight="1">
      <c r="A6" s="85" t="s">
        <v>1029</v>
      </c>
      <c r="B6" s="44">
        <v>46298.0</v>
      </c>
      <c r="C6" s="83"/>
      <c r="D6" s="6" t="s">
        <v>1030</v>
      </c>
      <c r="E6" s="6" t="s">
        <v>1031</v>
      </c>
      <c r="F6" s="67"/>
    </row>
    <row r="7" ht="44.25" customHeight="1">
      <c r="A7" s="85" t="s">
        <v>1032</v>
      </c>
      <c r="B7" s="44">
        <v>46308.0</v>
      </c>
      <c r="C7" s="6"/>
      <c r="D7" s="6" t="s">
        <v>1033</v>
      </c>
      <c r="E7" s="6"/>
      <c r="F7" s="16"/>
    </row>
    <row r="8" ht="30.75" customHeight="1">
      <c r="A8" s="85" t="s">
        <v>1034</v>
      </c>
      <c r="B8" s="44">
        <v>46319.0</v>
      </c>
      <c r="C8" s="6"/>
      <c r="D8" s="6" t="s">
        <v>1035</v>
      </c>
      <c r="E8" s="6"/>
      <c r="F8" s="16"/>
    </row>
    <row r="9" ht="30.75" customHeight="1">
      <c r="A9" s="85" t="s">
        <v>1036</v>
      </c>
      <c r="B9" s="44">
        <v>46330.0</v>
      </c>
      <c r="C9" s="6"/>
      <c r="D9" s="6" t="s">
        <v>1037</v>
      </c>
      <c r="E9" s="6"/>
      <c r="F9" s="16"/>
    </row>
    <row r="10" ht="12.0" customHeight="1"/>
    <row r="11" ht="18.0" customHeight="1">
      <c r="B11" s="27" t="s">
        <v>1038</v>
      </c>
      <c r="F11" s="86"/>
    </row>
    <row r="12" ht="18.75" customHeight="1">
      <c r="B12" s="3" t="s">
        <v>836</v>
      </c>
      <c r="C12" s="3" t="s">
        <v>1039</v>
      </c>
      <c r="D12" s="3" t="s">
        <v>1040</v>
      </c>
      <c r="E12" s="3" t="s">
        <v>1041</v>
      </c>
      <c r="F12" s="3" t="s">
        <v>339</v>
      </c>
    </row>
    <row r="13" ht="43.5" customHeight="1">
      <c r="B13" s="44">
        <v>46294.0</v>
      </c>
      <c r="C13" s="5" t="s">
        <v>531</v>
      </c>
      <c r="D13" s="6" t="s">
        <v>1042</v>
      </c>
      <c r="E13" s="6" t="s">
        <v>1043</v>
      </c>
      <c r="F13" s="16" t="s">
        <v>1044</v>
      </c>
    </row>
    <row r="14" ht="43.5" customHeight="1">
      <c r="B14" s="45">
        <v>46294.0</v>
      </c>
      <c r="C14" s="10" t="s">
        <v>531</v>
      </c>
      <c r="D14" s="11" t="s">
        <v>1045</v>
      </c>
      <c r="E14" s="11" t="s">
        <v>1046</v>
      </c>
      <c r="F14" s="24" t="s">
        <v>1047</v>
      </c>
    </row>
    <row r="15" ht="30.75" customHeight="1">
      <c r="B15" s="44">
        <v>46294.0</v>
      </c>
      <c r="C15" s="5" t="s">
        <v>531</v>
      </c>
      <c r="D15" s="6" t="s">
        <v>1048</v>
      </c>
      <c r="E15" s="6" t="s">
        <v>1049</v>
      </c>
      <c r="F15" s="16" t="s">
        <v>1044</v>
      </c>
    </row>
    <row r="16" ht="17.25" customHeight="1">
      <c r="B16" s="67"/>
      <c r="C16" s="83"/>
      <c r="D16" s="83"/>
      <c r="E16" s="83"/>
      <c r="F16" s="6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5:F7">
    <cfRule type="expression" dxfId="0" priority="1">
      <formula>F5="Hecho"</formula>
    </cfRule>
  </conditionalFormatting>
  <conditionalFormatting sqref="F5:F7">
    <cfRule type="expression" dxfId="0" priority="2">
      <formula>F5="Aprobado"</formula>
    </cfRule>
  </conditionalFormatting>
  <conditionalFormatting sqref="F5:F7">
    <cfRule type="expression" dxfId="0" priority="3">
      <formula>F5="Cerrado"</formula>
    </cfRule>
  </conditionalFormatting>
  <conditionalFormatting sqref="F5:F7">
    <cfRule type="expression" dxfId="0" priority="4">
      <formula>F5="Implementado"</formula>
    </cfRule>
  </conditionalFormatting>
  <conditionalFormatting sqref="F5:F7">
    <cfRule type="expression" dxfId="0" priority="5">
      <formula>F5="Terminado"</formula>
    </cfRule>
  </conditionalFormatting>
  <conditionalFormatting sqref="F5:F7">
    <cfRule type="expression" dxfId="0" priority="6">
      <formula>F5="Aplicado"</formula>
    </cfRule>
  </conditionalFormatting>
  <conditionalFormatting sqref="F5:F7">
    <cfRule type="expression" dxfId="0" priority="7">
      <formula>F5="A"</formula>
    </cfRule>
  </conditionalFormatting>
  <conditionalFormatting sqref="F5:F7">
    <cfRule type="expression" dxfId="1" priority="8">
      <formula>F5="En curso"</formula>
    </cfRule>
  </conditionalFormatting>
  <conditionalFormatting sqref="F5:F7">
    <cfRule type="expression" dxfId="1" priority="9">
      <formula>F5="Pendiente"</formula>
    </cfRule>
  </conditionalFormatting>
  <conditionalFormatting sqref="F5:F7">
    <cfRule type="expression" dxfId="1" priority="10">
      <formula>F5="Corregido"</formula>
    </cfRule>
  </conditionalFormatting>
  <conditionalFormatting sqref="F5:F7">
    <cfRule type="expression" dxfId="1" priority="11">
      <formula>F5="En desarrollo"</formula>
    </cfRule>
  </conditionalFormatting>
  <conditionalFormatting sqref="F5:F7">
    <cfRule type="expression" dxfId="1" priority="12">
      <formula>F5="En evaluación"</formula>
    </cfRule>
  </conditionalFormatting>
  <conditionalFormatting sqref="F5:F7">
    <cfRule type="expression" dxfId="1" priority="13">
      <formula>F5="En ejecución"</formula>
    </cfRule>
  </conditionalFormatting>
  <conditionalFormatting sqref="F5:F7">
    <cfRule type="expression" dxfId="1" priority="14">
      <formula>F5="Prueba de concepto"</formula>
    </cfRule>
  </conditionalFormatting>
  <conditionalFormatting sqref="F5:F7">
    <cfRule type="expression" dxfId="2" priority="15">
      <formula>F5="Por hacer"</formula>
    </cfRule>
  </conditionalFormatting>
  <conditionalFormatting sqref="F5:F7">
    <cfRule type="expression" dxfId="2" priority="16">
      <formula>F5="Planificado"</formula>
    </cfRule>
  </conditionalFormatting>
  <conditionalFormatting sqref="F5:F7">
    <cfRule type="expression" dxfId="2" priority="17">
      <formula>F5="Diseñado"</formula>
    </cfRule>
  </conditionalFormatting>
  <conditionalFormatting sqref="F5:F7">
    <cfRule type="expression" dxfId="3" priority="18">
      <formula>F5="Fallido"</formula>
    </cfRule>
  </conditionalFormatting>
  <conditionalFormatting sqref="F5:F7">
    <cfRule type="expression" dxfId="3" priority="19">
      <formula>F5="Abierto"</formula>
    </cfRule>
  </conditionalFormatting>
  <conditionalFormatting sqref="F5:F7">
    <cfRule type="expression" dxfId="3" priority="20">
      <formula>F5="R"</formula>
    </cfRule>
  </conditionalFormatting>
  <conditionalFormatting sqref="F5:F7">
    <cfRule type="expression" dxfId="4" priority="21">
      <formula>F5="Anulado"</formula>
    </cfRule>
  </conditionalFormatting>
  <conditionalFormatting sqref="F5:F7">
    <cfRule type="expression" dxfId="4" priority="22">
      <formula>F5="Descartada"</formula>
    </cfRule>
  </conditionalFormatting>
  <conditionalFormatting sqref="F5:F7">
    <cfRule type="expression" dxfId="4" priority="23">
      <formula>F5="No aplica"</formula>
    </cfRule>
  </conditionalFormatting>
  <conditionalFormatting sqref="F11:F16">
    <cfRule type="expression" dxfId="0" priority="24">
      <formula>F11="Hecho"</formula>
    </cfRule>
  </conditionalFormatting>
  <conditionalFormatting sqref="F11:F16">
    <cfRule type="expression" dxfId="0" priority="25">
      <formula>F11="Aprobado"</formula>
    </cfRule>
  </conditionalFormatting>
  <conditionalFormatting sqref="F11:F16">
    <cfRule type="expression" dxfId="0" priority="26">
      <formula>F11="Cerrado"</formula>
    </cfRule>
  </conditionalFormatting>
  <conditionalFormatting sqref="F11:F16">
    <cfRule type="expression" dxfId="0" priority="27">
      <formula>F11="Implementado"</formula>
    </cfRule>
  </conditionalFormatting>
  <conditionalFormatting sqref="F11:F16">
    <cfRule type="expression" dxfId="0" priority="28">
      <formula>F11="Terminado"</formula>
    </cfRule>
  </conditionalFormatting>
  <conditionalFormatting sqref="F11:F16">
    <cfRule type="expression" dxfId="0" priority="29">
      <formula>F11="Aplicado"</formula>
    </cfRule>
  </conditionalFormatting>
  <conditionalFormatting sqref="F11:F16">
    <cfRule type="expression" dxfId="0" priority="30">
      <formula>F11="A"</formula>
    </cfRule>
  </conditionalFormatting>
  <conditionalFormatting sqref="F11:F16">
    <cfRule type="expression" dxfId="1" priority="31">
      <formula>F11="En curso"</formula>
    </cfRule>
  </conditionalFormatting>
  <conditionalFormatting sqref="F11:F16">
    <cfRule type="expression" dxfId="1" priority="32">
      <formula>F11="Pendiente"</formula>
    </cfRule>
  </conditionalFormatting>
  <conditionalFormatting sqref="F11:F16">
    <cfRule type="expression" dxfId="1" priority="33">
      <formula>F11="Corregido"</formula>
    </cfRule>
  </conditionalFormatting>
  <conditionalFormatting sqref="F11:F16">
    <cfRule type="expression" dxfId="1" priority="34">
      <formula>F11="En desarrollo"</formula>
    </cfRule>
  </conditionalFormatting>
  <conditionalFormatting sqref="F11:F16">
    <cfRule type="expression" dxfId="1" priority="35">
      <formula>F11="En evaluación"</formula>
    </cfRule>
  </conditionalFormatting>
  <conditionalFormatting sqref="F11:F16">
    <cfRule type="expression" dxfId="1" priority="36">
      <formula>F11="En ejecución"</formula>
    </cfRule>
  </conditionalFormatting>
  <conditionalFormatting sqref="F11:F16">
    <cfRule type="expression" dxfId="1" priority="37">
      <formula>F11="Prueba de concepto"</formula>
    </cfRule>
  </conditionalFormatting>
  <conditionalFormatting sqref="F11:F16">
    <cfRule type="expression" dxfId="2" priority="38">
      <formula>F11="Por hacer"</formula>
    </cfRule>
  </conditionalFormatting>
  <conditionalFormatting sqref="F11:F16">
    <cfRule type="expression" dxfId="2" priority="39">
      <formula>F11="Planificado"</formula>
    </cfRule>
  </conditionalFormatting>
  <conditionalFormatting sqref="F11:F16">
    <cfRule type="expression" dxfId="2" priority="40">
      <formula>F11="Diseñado"</formula>
    </cfRule>
  </conditionalFormatting>
  <conditionalFormatting sqref="F11:F16">
    <cfRule type="expression" dxfId="3" priority="41">
      <formula>F11="Fallido"</formula>
    </cfRule>
  </conditionalFormatting>
  <conditionalFormatting sqref="F11:F16">
    <cfRule type="expression" dxfId="3" priority="42">
      <formula>F11="Abierto"</formula>
    </cfRule>
  </conditionalFormatting>
  <conditionalFormatting sqref="F11:F16">
    <cfRule type="expression" dxfId="3" priority="43">
      <formula>F11="R"</formula>
    </cfRule>
  </conditionalFormatting>
  <conditionalFormatting sqref="F11:F16">
    <cfRule type="expression" dxfId="4" priority="44">
      <formula>F11="Anulado"</formula>
    </cfRule>
  </conditionalFormatting>
  <conditionalFormatting sqref="F11:F16">
    <cfRule type="expression" dxfId="4" priority="45">
      <formula>F11="Descartada"</formula>
    </cfRule>
  </conditionalFormatting>
  <conditionalFormatting sqref="F11:F16">
    <cfRule type="expression" dxfId="4" priority="46">
      <formula>F11="No aplica"</formula>
    </cfRule>
  </conditionalFormatting>
  <dataValidations>
    <dataValidation type="list" allowBlank="1" sqref="F5:F7">
      <formula1>"A,R"</formula1>
    </dataValidation>
    <dataValidation type="list" allowBlank="1" sqref="F11:F16">
      <formula1>"Pendiente,En curso,Aplicado"</formula1>
    </dataValidation>
  </dataValidations>
  <printOptions/>
  <pageMargins bottom="0.5" footer="0.0" header="0.0" left="0.4" right="0.4" top="0.5"/>
  <pageSetup fitToHeight="0"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39.57"/>
    <col customWidth="1" min="2" max="2" width="74.0"/>
    <col customWidth="1" min="3" max="6" width="8.71"/>
  </cols>
  <sheetData>
    <row r="1" ht="18.0" customHeight="1">
      <c r="A1" s="1" t="s">
        <v>1050</v>
      </c>
    </row>
    <row r="2">
      <c r="A2" s="2"/>
    </row>
    <row r="4" ht="30.75" customHeight="1">
      <c r="A4" s="3" t="s">
        <v>1051</v>
      </c>
      <c r="B4" s="3" t="s">
        <v>1052</v>
      </c>
    </row>
    <row r="5" ht="57.75" customHeight="1">
      <c r="A5" s="5" t="s">
        <v>1053</v>
      </c>
      <c r="B5" s="6" t="s">
        <v>1054</v>
      </c>
    </row>
    <row r="6" ht="57.75" customHeight="1">
      <c r="A6" s="5" t="s">
        <v>1055</v>
      </c>
      <c r="B6" s="6" t="s">
        <v>1056</v>
      </c>
    </row>
    <row r="7" ht="44.25" customHeight="1">
      <c r="A7" s="5" t="s">
        <v>1057</v>
      </c>
      <c r="B7" s="6" t="s">
        <v>1058</v>
      </c>
    </row>
    <row r="9" ht="30.75" customHeight="1">
      <c r="A9" s="3" t="s">
        <v>1059</v>
      </c>
      <c r="B9" s="3" t="s">
        <v>1052</v>
      </c>
    </row>
    <row r="10" ht="57.75" customHeight="1">
      <c r="A10" s="5" t="s">
        <v>1053</v>
      </c>
      <c r="B10" s="6" t="s">
        <v>1060</v>
      </c>
    </row>
    <row r="11" ht="44.25" customHeight="1">
      <c r="A11" s="5" t="s">
        <v>1055</v>
      </c>
      <c r="B11" s="6" t="s">
        <v>1061</v>
      </c>
    </row>
    <row r="12" ht="44.25" customHeight="1">
      <c r="A12" s="5" t="s">
        <v>1057</v>
      </c>
      <c r="B12" s="6" t="s">
        <v>1062</v>
      </c>
    </row>
    <row r="14" ht="30.75" customHeight="1">
      <c r="A14" s="3" t="s">
        <v>1063</v>
      </c>
      <c r="B14" s="3" t="s">
        <v>1052</v>
      </c>
    </row>
    <row r="15" ht="30.75" customHeight="1">
      <c r="A15" s="5" t="s">
        <v>1053</v>
      </c>
      <c r="B15" s="6" t="s">
        <v>1064</v>
      </c>
    </row>
    <row r="16" ht="44.25" customHeight="1">
      <c r="A16" s="5" t="s">
        <v>1055</v>
      </c>
      <c r="B16" s="6" t="s">
        <v>1065</v>
      </c>
    </row>
    <row r="17" ht="44.25" customHeight="1">
      <c r="A17" s="5" t="s">
        <v>1057</v>
      </c>
      <c r="B17" s="6" t="s">
        <v>1066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5" footer="0.0" header="0.0" left="0.4" right="0.4" top="0.5"/>
  <pageSetup fitToHeight="0"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2.0" ySplit="14.0" topLeftCell="C15" activePane="bottomRight" state="frozen"/>
      <selection activeCell="C1" sqref="C1" pane="topRight"/>
      <selection activeCell="A15" sqref="A15" pane="bottomLeft"/>
      <selection activeCell="C15" sqref="C15" pane="bottomRight"/>
    </sheetView>
  </sheetViews>
  <sheetFormatPr customHeight="1" defaultColWidth="14.43" defaultRowHeight="15.0"/>
  <cols>
    <col customWidth="1" min="1" max="1" width="5.0"/>
    <col customWidth="1" min="2" max="2" width="46.0"/>
    <col customWidth="1" min="3" max="4" width="17.0"/>
    <col customWidth="1" min="5" max="7" width="7.0"/>
    <col customWidth="1" min="8" max="8" width="11.0"/>
    <col customWidth="1" min="9" max="9" width="8.0"/>
    <col customWidth="1" min="10" max="36" width="3.71"/>
    <col customWidth="1" min="37" max="37" width="7.0"/>
  </cols>
  <sheetData>
    <row r="1" ht="18.0" customHeight="1">
      <c r="A1" s="1" t="s">
        <v>1067</v>
      </c>
    </row>
    <row r="2">
      <c r="A2" s="2" t="s">
        <v>1070</v>
      </c>
    </row>
    <row r="3" ht="16.5" customHeight="1">
      <c r="B3" s="56" t="s">
        <v>733</v>
      </c>
      <c r="C3" s="57" t="s">
        <v>762</v>
      </c>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1"/>
    </row>
    <row r="4" ht="16.5" customHeight="1">
      <c r="B4" s="56" t="s">
        <v>731</v>
      </c>
      <c r="C4" s="59">
        <v>46272.0</v>
      </c>
    </row>
    <row r="5" ht="16.5" customHeight="1">
      <c r="B5" s="56" t="s">
        <v>713</v>
      </c>
      <c r="C5" s="59">
        <f>IF(C4="","",C4+26)</f>
        <v>46298</v>
      </c>
    </row>
    <row r="6" ht="16.5" customHeight="1">
      <c r="B6" s="56" t="s">
        <v>781</v>
      </c>
      <c r="C6" s="6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1"/>
    </row>
    <row r="7" ht="16.5" customHeight="1">
      <c r="B7" s="56" t="s">
        <v>782</v>
      </c>
      <c r="C7" s="57" t="s">
        <v>1072</v>
      </c>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1"/>
    </row>
    <row r="8" ht="16.5" customHeight="1">
      <c r="B8" s="56" t="s">
        <v>785</v>
      </c>
      <c r="C8" s="62">
        <f>ROUND(2*10*27/7,0)</f>
        <v>77</v>
      </c>
    </row>
    <row r="9" ht="16.5" customHeight="1">
      <c r="B9" s="56" t="s">
        <v>788</v>
      </c>
      <c r="C9" s="62">
        <f>SUM(E15:E26)</f>
        <v>34</v>
      </c>
    </row>
    <row r="10" ht="16.5" customHeight="1">
      <c r="B10" s="56" t="s">
        <v>789</v>
      </c>
      <c r="C10" s="62">
        <f>COUNTIF(G15:G26,C4)</f>
        <v>12</v>
      </c>
    </row>
    <row r="11" ht="16.5" customHeight="1">
      <c r="B11" s="56" t="s">
        <v>790</v>
      </c>
      <c r="C11" s="63">
        <v>46298.0</v>
      </c>
    </row>
    <row r="13" ht="18.0" customHeight="1">
      <c r="A13" s="14" t="s">
        <v>792</v>
      </c>
      <c r="B13" s="15"/>
      <c r="C13" s="15"/>
      <c r="D13" s="15"/>
      <c r="E13" s="15"/>
      <c r="F13" s="15"/>
      <c r="G13" s="15"/>
      <c r="H13" s="15"/>
      <c r="I13" s="17"/>
      <c r="J13" s="14" t="s">
        <v>793</v>
      </c>
      <c r="K13" s="15"/>
      <c r="L13" s="15"/>
      <c r="M13" s="15"/>
      <c r="N13" s="15"/>
      <c r="O13" s="15"/>
      <c r="P13" s="15"/>
      <c r="Q13" s="15"/>
      <c r="R13" s="15"/>
      <c r="S13" s="15"/>
      <c r="T13" s="15"/>
      <c r="U13" s="15"/>
      <c r="V13" s="15"/>
      <c r="W13" s="15"/>
      <c r="X13" s="15"/>
      <c r="Y13" s="15"/>
      <c r="Z13" s="15"/>
      <c r="AA13" s="15"/>
      <c r="AB13" s="15"/>
      <c r="AC13" s="15"/>
      <c r="AD13" s="15"/>
      <c r="AE13" s="15"/>
      <c r="AF13" s="15"/>
      <c r="AG13" s="15"/>
      <c r="AH13" s="15"/>
      <c r="AI13" s="15"/>
      <c r="AJ13" s="17"/>
      <c r="AK13" s="65" t="s">
        <v>794</v>
      </c>
    </row>
    <row r="14" ht="39.75" customHeight="1">
      <c r="A14" s="18" t="s">
        <v>619</v>
      </c>
      <c r="B14" s="18" t="s">
        <v>742</v>
      </c>
      <c r="C14" s="18" t="s">
        <v>795</v>
      </c>
      <c r="D14" s="18" t="s">
        <v>97</v>
      </c>
      <c r="E14" s="18" t="s">
        <v>796</v>
      </c>
      <c r="F14" s="18" t="s">
        <v>797</v>
      </c>
      <c r="G14" s="18" t="s">
        <v>559</v>
      </c>
      <c r="H14" s="18" t="s">
        <v>339</v>
      </c>
      <c r="I14" s="18" t="s">
        <v>713</v>
      </c>
      <c r="J14" s="66">
        <f>IF($C$4="","",$C$4+0)</f>
        <v>46272</v>
      </c>
      <c r="K14" s="66">
        <f>IF($C$4="","",$C$4+1)</f>
        <v>46273</v>
      </c>
      <c r="L14" s="66">
        <f>IF($C$4="","",$C$4+2)</f>
        <v>46274</v>
      </c>
      <c r="M14" s="66">
        <f>IF($C$4="","",$C$4+3)</f>
        <v>46275</v>
      </c>
      <c r="N14" s="66">
        <f>IF($C$4="","",$C$4+4)</f>
        <v>46276</v>
      </c>
      <c r="O14" s="66">
        <f>IF($C$4="","",$C$4+5)</f>
        <v>46277</v>
      </c>
      <c r="P14" s="66">
        <f>IF($C$4="","",$C$4+6)</f>
        <v>46278</v>
      </c>
      <c r="Q14" s="66">
        <f>IF($C$4="","",$C$4+7)</f>
        <v>46279</v>
      </c>
      <c r="R14" s="66">
        <f>IF($C$4="","",$C$4+8)</f>
        <v>46280</v>
      </c>
      <c r="S14" s="66">
        <f>IF($C$4="","",$C$4+9)</f>
        <v>46281</v>
      </c>
      <c r="T14" s="66">
        <f>IF($C$4="","",$C$4+10)</f>
        <v>46282</v>
      </c>
      <c r="U14" s="66">
        <f>IF($C$4="","",$C$4+11)</f>
        <v>46283</v>
      </c>
      <c r="V14" s="66">
        <f>IF($C$4="","",$C$4+12)</f>
        <v>46284</v>
      </c>
      <c r="W14" s="66">
        <f>IF($C$4="","",$C$4+13)</f>
        <v>46285</v>
      </c>
      <c r="X14" s="66">
        <f>IF($C$4="","",$C$4+14)</f>
        <v>46286</v>
      </c>
      <c r="Y14" s="66">
        <f>IF($C$4="","",$C$4+15)</f>
        <v>46287</v>
      </c>
      <c r="Z14" s="66">
        <f>IF($C$4="","",$C$4+16)</f>
        <v>46288</v>
      </c>
      <c r="AA14" s="66">
        <f>IF($C$4="","",$C$4+17)</f>
        <v>46289</v>
      </c>
      <c r="AB14" s="66">
        <f>IF($C$4="","",$C$4+18)</f>
        <v>46290</v>
      </c>
      <c r="AC14" s="66">
        <f>IF($C$4="","",$C$4+19)</f>
        <v>46291</v>
      </c>
      <c r="AD14" s="66">
        <f>IF($C$4="","",$C$4+20)</f>
        <v>46292</v>
      </c>
      <c r="AE14" s="66">
        <f>IF($C$4="","",$C$4+21)</f>
        <v>46293</v>
      </c>
      <c r="AF14" s="66">
        <f>IF($C$4="","",$C$4+22)</f>
        <v>46294</v>
      </c>
      <c r="AG14" s="66">
        <f>IF($C$4="","",$C$4+23)</f>
        <v>46295</v>
      </c>
      <c r="AH14" s="66">
        <f>IF($C$4="","",$C$4+24)</f>
        <v>46296</v>
      </c>
      <c r="AI14" s="66">
        <f>IF($C$4="","",$C$4+25)</f>
        <v>46297</v>
      </c>
      <c r="AJ14" s="66">
        <f>IF($C$4="","",$C$4+26)</f>
        <v>46298</v>
      </c>
      <c r="AK14" s="18" t="s">
        <v>799</v>
      </c>
    </row>
    <row r="15" ht="30.75" customHeight="1">
      <c r="A15" s="16">
        <v>1.0</v>
      </c>
      <c r="B15" s="6" t="s">
        <v>1081</v>
      </c>
      <c r="C15" s="6" t="s">
        <v>1082</v>
      </c>
      <c r="D15" s="6" t="s">
        <v>19</v>
      </c>
      <c r="E15" s="8">
        <v>3.0</v>
      </c>
      <c r="F15" s="67"/>
      <c r="G15" s="68">
        <v>46272.0</v>
      </c>
      <c r="H15" s="16" t="s">
        <v>375</v>
      </c>
      <c r="I15" s="72">
        <v>46279.0</v>
      </c>
      <c r="J15" s="16" t="str">
        <f t="shared" ref="J15:AJ15" si="1">IF($I15=J$14,"✔","")</f>
        <v/>
      </c>
      <c r="K15" s="16" t="str">
        <f t="shared" si="1"/>
        <v/>
      </c>
      <c r="L15" s="16" t="str">
        <f t="shared" si="1"/>
        <v/>
      </c>
      <c r="M15" s="16" t="str">
        <f t="shared" si="1"/>
        <v/>
      </c>
      <c r="N15" s="16" t="str">
        <f t="shared" si="1"/>
        <v/>
      </c>
      <c r="O15" s="16" t="str">
        <f t="shared" si="1"/>
        <v/>
      </c>
      <c r="P15" s="16" t="str">
        <f t="shared" si="1"/>
        <v/>
      </c>
      <c r="Q15" s="16" t="str">
        <f t="shared" si="1"/>
        <v>✔</v>
      </c>
      <c r="R15" s="16" t="str">
        <f t="shared" si="1"/>
        <v/>
      </c>
      <c r="S15" s="16" t="str">
        <f t="shared" si="1"/>
        <v/>
      </c>
      <c r="T15" s="16" t="str">
        <f t="shared" si="1"/>
        <v/>
      </c>
      <c r="U15" s="16" t="str">
        <f t="shared" si="1"/>
        <v/>
      </c>
      <c r="V15" s="16" t="str">
        <f t="shared" si="1"/>
        <v/>
      </c>
      <c r="W15" s="16" t="str">
        <f t="shared" si="1"/>
        <v/>
      </c>
      <c r="X15" s="16" t="str">
        <f t="shared" si="1"/>
        <v/>
      </c>
      <c r="Y15" s="16" t="str">
        <f t="shared" si="1"/>
        <v/>
      </c>
      <c r="Z15" s="16" t="str">
        <f t="shared" si="1"/>
        <v/>
      </c>
      <c r="AA15" s="16" t="str">
        <f t="shared" si="1"/>
        <v/>
      </c>
      <c r="AB15" s="16" t="str">
        <f t="shared" si="1"/>
        <v/>
      </c>
      <c r="AC15" s="16" t="str">
        <f t="shared" si="1"/>
        <v/>
      </c>
      <c r="AD15" s="16" t="str">
        <f t="shared" si="1"/>
        <v/>
      </c>
      <c r="AE15" s="16" t="str">
        <f t="shared" si="1"/>
        <v/>
      </c>
      <c r="AF15" s="16" t="str">
        <f t="shared" si="1"/>
        <v/>
      </c>
      <c r="AG15" s="16" t="str">
        <f t="shared" si="1"/>
        <v/>
      </c>
      <c r="AH15" s="16" t="str">
        <f t="shared" si="1"/>
        <v/>
      </c>
      <c r="AI15" s="16" t="str">
        <f t="shared" si="1"/>
        <v/>
      </c>
      <c r="AJ15" s="16" t="str">
        <f t="shared" si="1"/>
        <v/>
      </c>
      <c r="AK15" s="69" t="s">
        <v>802</v>
      </c>
    </row>
    <row r="16" ht="30.75" customHeight="1">
      <c r="A16" s="24">
        <v>2.0</v>
      </c>
      <c r="B16" s="11" t="s">
        <v>1088</v>
      </c>
      <c r="C16" s="11" t="s">
        <v>1082</v>
      </c>
      <c r="D16" s="11" t="s">
        <v>30</v>
      </c>
      <c r="E16" s="13">
        <v>3.0</v>
      </c>
      <c r="F16" s="67"/>
      <c r="G16" s="70">
        <v>46272.0</v>
      </c>
      <c r="H16" s="24" t="s">
        <v>375</v>
      </c>
      <c r="I16" s="72">
        <v>46279.0</v>
      </c>
      <c r="J16" s="24" t="str">
        <f t="shared" ref="J16:AJ16" si="2">IF($I16=J$14,"✔","")</f>
        <v/>
      </c>
      <c r="K16" s="24" t="str">
        <f t="shared" si="2"/>
        <v/>
      </c>
      <c r="L16" s="24" t="str">
        <f t="shared" si="2"/>
        <v/>
      </c>
      <c r="M16" s="24" t="str">
        <f t="shared" si="2"/>
        <v/>
      </c>
      <c r="N16" s="24" t="str">
        <f t="shared" si="2"/>
        <v/>
      </c>
      <c r="O16" s="24" t="str">
        <f t="shared" si="2"/>
        <v/>
      </c>
      <c r="P16" s="24" t="str">
        <f t="shared" si="2"/>
        <v/>
      </c>
      <c r="Q16" s="24" t="str">
        <f t="shared" si="2"/>
        <v>✔</v>
      </c>
      <c r="R16" s="24" t="str">
        <f t="shared" si="2"/>
        <v/>
      </c>
      <c r="S16" s="24" t="str">
        <f t="shared" si="2"/>
        <v/>
      </c>
      <c r="T16" s="24" t="str">
        <f t="shared" si="2"/>
        <v/>
      </c>
      <c r="U16" s="24" t="str">
        <f t="shared" si="2"/>
        <v/>
      </c>
      <c r="V16" s="24" t="str">
        <f t="shared" si="2"/>
        <v/>
      </c>
      <c r="W16" s="24" t="str">
        <f t="shared" si="2"/>
        <v/>
      </c>
      <c r="X16" s="24" t="str">
        <f t="shared" si="2"/>
        <v/>
      </c>
      <c r="Y16" s="24" t="str">
        <f t="shared" si="2"/>
        <v/>
      </c>
      <c r="Z16" s="24" t="str">
        <f t="shared" si="2"/>
        <v/>
      </c>
      <c r="AA16" s="24" t="str">
        <f t="shared" si="2"/>
        <v/>
      </c>
      <c r="AB16" s="24" t="str">
        <f t="shared" si="2"/>
        <v/>
      </c>
      <c r="AC16" s="24" t="str">
        <f t="shared" si="2"/>
        <v/>
      </c>
      <c r="AD16" s="24" t="str">
        <f t="shared" si="2"/>
        <v/>
      </c>
      <c r="AE16" s="24" t="str">
        <f t="shared" si="2"/>
        <v/>
      </c>
      <c r="AF16" s="24" t="str">
        <f t="shared" si="2"/>
        <v/>
      </c>
      <c r="AG16" s="24" t="str">
        <f t="shared" si="2"/>
        <v/>
      </c>
      <c r="AH16" s="24" t="str">
        <f t="shared" si="2"/>
        <v/>
      </c>
      <c r="AI16" s="24" t="str">
        <f t="shared" si="2"/>
        <v/>
      </c>
      <c r="AJ16" s="24" t="str">
        <f t="shared" si="2"/>
        <v/>
      </c>
      <c r="AK16" s="69" t="s">
        <v>802</v>
      </c>
    </row>
    <row r="17" ht="30.75" customHeight="1">
      <c r="A17" s="16">
        <v>3.0</v>
      </c>
      <c r="B17" s="6" t="s">
        <v>1092</v>
      </c>
      <c r="C17" s="6" t="s">
        <v>1093</v>
      </c>
      <c r="D17" s="6" t="s">
        <v>30</v>
      </c>
      <c r="E17" s="8">
        <v>4.0</v>
      </c>
      <c r="F17" s="67"/>
      <c r="G17" s="68">
        <v>46272.0</v>
      </c>
      <c r="H17" s="16" t="s">
        <v>375</v>
      </c>
      <c r="I17" s="72">
        <v>46286.0</v>
      </c>
      <c r="J17" s="16" t="str">
        <f t="shared" ref="J17:AJ17" si="3">IF($I17=J$14,"✔","")</f>
        <v/>
      </c>
      <c r="K17" s="16" t="str">
        <f t="shared" si="3"/>
        <v/>
      </c>
      <c r="L17" s="16" t="str">
        <f t="shared" si="3"/>
        <v/>
      </c>
      <c r="M17" s="16" t="str">
        <f t="shared" si="3"/>
        <v/>
      </c>
      <c r="N17" s="16" t="str">
        <f t="shared" si="3"/>
        <v/>
      </c>
      <c r="O17" s="16" t="str">
        <f t="shared" si="3"/>
        <v/>
      </c>
      <c r="P17" s="16" t="str">
        <f t="shared" si="3"/>
        <v/>
      </c>
      <c r="Q17" s="16" t="str">
        <f t="shared" si="3"/>
        <v/>
      </c>
      <c r="R17" s="16" t="str">
        <f t="shared" si="3"/>
        <v/>
      </c>
      <c r="S17" s="16" t="str">
        <f t="shared" si="3"/>
        <v/>
      </c>
      <c r="T17" s="16" t="str">
        <f t="shared" si="3"/>
        <v/>
      </c>
      <c r="U17" s="16" t="str">
        <f t="shared" si="3"/>
        <v/>
      </c>
      <c r="V17" s="16" t="str">
        <f t="shared" si="3"/>
        <v/>
      </c>
      <c r="W17" s="16" t="str">
        <f t="shared" si="3"/>
        <v/>
      </c>
      <c r="X17" s="16" t="str">
        <f t="shared" si="3"/>
        <v>✔</v>
      </c>
      <c r="Y17" s="16" t="str">
        <f t="shared" si="3"/>
        <v/>
      </c>
      <c r="Z17" s="16" t="str">
        <f t="shared" si="3"/>
        <v/>
      </c>
      <c r="AA17" s="16" t="str">
        <f t="shared" si="3"/>
        <v/>
      </c>
      <c r="AB17" s="16" t="str">
        <f t="shared" si="3"/>
        <v/>
      </c>
      <c r="AC17" s="16" t="str">
        <f t="shared" si="3"/>
        <v/>
      </c>
      <c r="AD17" s="16" t="str">
        <f t="shared" si="3"/>
        <v/>
      </c>
      <c r="AE17" s="16" t="str">
        <f t="shared" si="3"/>
        <v/>
      </c>
      <c r="AF17" s="16" t="str">
        <f t="shared" si="3"/>
        <v/>
      </c>
      <c r="AG17" s="16" t="str">
        <f t="shared" si="3"/>
        <v/>
      </c>
      <c r="AH17" s="16" t="str">
        <f t="shared" si="3"/>
        <v/>
      </c>
      <c r="AI17" s="16" t="str">
        <f t="shared" si="3"/>
        <v/>
      </c>
      <c r="AJ17" s="16" t="str">
        <f t="shared" si="3"/>
        <v/>
      </c>
      <c r="AK17" s="69" t="s">
        <v>802</v>
      </c>
    </row>
    <row r="18" ht="30.75" customHeight="1">
      <c r="A18" s="24">
        <v>4.0</v>
      </c>
      <c r="B18" s="11" t="s">
        <v>1097</v>
      </c>
      <c r="C18" s="11" t="s">
        <v>1098</v>
      </c>
      <c r="D18" s="11" t="s">
        <v>19</v>
      </c>
      <c r="E18" s="13">
        <v>2.0</v>
      </c>
      <c r="F18" s="67"/>
      <c r="G18" s="70">
        <v>46272.0</v>
      </c>
      <c r="H18" s="24" t="s">
        <v>375</v>
      </c>
      <c r="I18" s="70">
        <v>46293.0</v>
      </c>
      <c r="J18" s="24" t="str">
        <f t="shared" ref="J18:AJ18" si="4">IF($I18=J$14,"✔","")</f>
        <v/>
      </c>
      <c r="K18" s="24" t="str">
        <f t="shared" si="4"/>
        <v/>
      </c>
      <c r="L18" s="24" t="str">
        <f t="shared" si="4"/>
        <v/>
      </c>
      <c r="M18" s="24" t="str">
        <f t="shared" si="4"/>
        <v/>
      </c>
      <c r="N18" s="24" t="str">
        <f t="shared" si="4"/>
        <v/>
      </c>
      <c r="O18" s="24" t="str">
        <f t="shared" si="4"/>
        <v/>
      </c>
      <c r="P18" s="24" t="str">
        <f t="shared" si="4"/>
        <v/>
      </c>
      <c r="Q18" s="24" t="str">
        <f t="shared" si="4"/>
        <v/>
      </c>
      <c r="R18" s="24" t="str">
        <f t="shared" si="4"/>
        <v/>
      </c>
      <c r="S18" s="24" t="str">
        <f t="shared" si="4"/>
        <v/>
      </c>
      <c r="T18" s="24" t="str">
        <f t="shared" si="4"/>
        <v/>
      </c>
      <c r="U18" s="24" t="str">
        <f t="shared" si="4"/>
        <v/>
      </c>
      <c r="V18" s="24" t="str">
        <f t="shared" si="4"/>
        <v/>
      </c>
      <c r="W18" s="24" t="str">
        <f t="shared" si="4"/>
        <v/>
      </c>
      <c r="X18" s="24" t="str">
        <f t="shared" si="4"/>
        <v/>
      </c>
      <c r="Y18" s="24" t="str">
        <f t="shared" si="4"/>
        <v/>
      </c>
      <c r="Z18" s="24" t="str">
        <f t="shared" si="4"/>
        <v/>
      </c>
      <c r="AA18" s="24" t="str">
        <f t="shared" si="4"/>
        <v/>
      </c>
      <c r="AB18" s="24" t="str">
        <f t="shared" si="4"/>
        <v/>
      </c>
      <c r="AC18" s="24" t="str">
        <f t="shared" si="4"/>
        <v/>
      </c>
      <c r="AD18" s="24" t="str">
        <f t="shared" si="4"/>
        <v/>
      </c>
      <c r="AE18" s="24" t="str">
        <f t="shared" si="4"/>
        <v>✔</v>
      </c>
      <c r="AF18" s="24" t="str">
        <f t="shared" si="4"/>
        <v/>
      </c>
      <c r="AG18" s="24" t="str">
        <f t="shared" si="4"/>
        <v/>
      </c>
      <c r="AH18" s="24" t="str">
        <f t="shared" si="4"/>
        <v/>
      </c>
      <c r="AI18" s="24" t="str">
        <f t="shared" si="4"/>
        <v/>
      </c>
      <c r="AJ18" s="24" t="str">
        <f t="shared" si="4"/>
        <v/>
      </c>
      <c r="AK18" s="69" t="s">
        <v>802</v>
      </c>
    </row>
    <row r="19" ht="30.75" customHeight="1">
      <c r="A19" s="16">
        <v>5.0</v>
      </c>
      <c r="B19" s="6" t="s">
        <v>1102</v>
      </c>
      <c r="C19" s="6" t="s">
        <v>441</v>
      </c>
      <c r="D19" s="6" t="s">
        <v>30</v>
      </c>
      <c r="E19" s="8">
        <v>2.0</v>
      </c>
      <c r="F19" s="67"/>
      <c r="G19" s="68">
        <v>46272.0</v>
      </c>
      <c r="H19" s="16" t="s">
        <v>375</v>
      </c>
      <c r="I19" s="68">
        <v>46294.0</v>
      </c>
      <c r="J19" s="16" t="str">
        <f t="shared" ref="J19:AJ19" si="5">IF($I19=J$14,"✔","")</f>
        <v/>
      </c>
      <c r="K19" s="16" t="str">
        <f t="shared" si="5"/>
        <v/>
      </c>
      <c r="L19" s="16" t="str">
        <f t="shared" si="5"/>
        <v/>
      </c>
      <c r="M19" s="16" t="str">
        <f t="shared" si="5"/>
        <v/>
      </c>
      <c r="N19" s="16" t="str">
        <f t="shared" si="5"/>
        <v/>
      </c>
      <c r="O19" s="16" t="str">
        <f t="shared" si="5"/>
        <v/>
      </c>
      <c r="P19" s="16" t="str">
        <f t="shared" si="5"/>
        <v/>
      </c>
      <c r="Q19" s="16" t="str">
        <f t="shared" si="5"/>
        <v/>
      </c>
      <c r="R19" s="16" t="str">
        <f t="shared" si="5"/>
        <v/>
      </c>
      <c r="S19" s="16" t="str">
        <f t="shared" si="5"/>
        <v/>
      </c>
      <c r="T19" s="16" t="str">
        <f t="shared" si="5"/>
        <v/>
      </c>
      <c r="U19" s="16" t="str">
        <f t="shared" si="5"/>
        <v/>
      </c>
      <c r="V19" s="16" t="str">
        <f t="shared" si="5"/>
        <v/>
      </c>
      <c r="W19" s="16" t="str">
        <f t="shared" si="5"/>
        <v/>
      </c>
      <c r="X19" s="16" t="str">
        <f t="shared" si="5"/>
        <v/>
      </c>
      <c r="Y19" s="16" t="str">
        <f t="shared" si="5"/>
        <v/>
      </c>
      <c r="Z19" s="16" t="str">
        <f t="shared" si="5"/>
        <v/>
      </c>
      <c r="AA19" s="16" t="str">
        <f t="shared" si="5"/>
        <v/>
      </c>
      <c r="AB19" s="16" t="str">
        <f t="shared" si="5"/>
        <v/>
      </c>
      <c r="AC19" s="16" t="str">
        <f t="shared" si="5"/>
        <v/>
      </c>
      <c r="AD19" s="16" t="str">
        <f t="shared" si="5"/>
        <v/>
      </c>
      <c r="AE19" s="16" t="str">
        <f t="shared" si="5"/>
        <v/>
      </c>
      <c r="AF19" s="16" t="str">
        <f t="shared" si="5"/>
        <v>✔</v>
      </c>
      <c r="AG19" s="16" t="str">
        <f t="shared" si="5"/>
        <v/>
      </c>
      <c r="AH19" s="16" t="str">
        <f t="shared" si="5"/>
        <v/>
      </c>
      <c r="AI19" s="16" t="str">
        <f t="shared" si="5"/>
        <v/>
      </c>
      <c r="AJ19" s="16" t="str">
        <f t="shared" si="5"/>
        <v/>
      </c>
      <c r="AK19" s="69" t="s">
        <v>802</v>
      </c>
    </row>
    <row r="20" ht="30.75" customHeight="1">
      <c r="A20" s="24">
        <v>6.0</v>
      </c>
      <c r="B20" s="11" t="s">
        <v>1110</v>
      </c>
      <c r="C20" s="11" t="s">
        <v>1111</v>
      </c>
      <c r="D20" s="11" t="s">
        <v>30</v>
      </c>
      <c r="E20" s="13">
        <v>3.0</v>
      </c>
      <c r="F20" s="67"/>
      <c r="G20" s="70">
        <v>46272.0</v>
      </c>
      <c r="H20" s="24" t="s">
        <v>375</v>
      </c>
      <c r="I20" s="70">
        <v>46295.0</v>
      </c>
      <c r="J20" s="24" t="str">
        <f t="shared" ref="J20:AJ20" si="6">IF($I20=J$14,"✔","")</f>
        <v/>
      </c>
      <c r="K20" s="24" t="str">
        <f t="shared" si="6"/>
        <v/>
      </c>
      <c r="L20" s="24" t="str">
        <f t="shared" si="6"/>
        <v/>
      </c>
      <c r="M20" s="24" t="str">
        <f t="shared" si="6"/>
        <v/>
      </c>
      <c r="N20" s="24" t="str">
        <f t="shared" si="6"/>
        <v/>
      </c>
      <c r="O20" s="24" t="str">
        <f t="shared" si="6"/>
        <v/>
      </c>
      <c r="P20" s="24" t="str">
        <f t="shared" si="6"/>
        <v/>
      </c>
      <c r="Q20" s="24" t="str">
        <f t="shared" si="6"/>
        <v/>
      </c>
      <c r="R20" s="24" t="str">
        <f t="shared" si="6"/>
        <v/>
      </c>
      <c r="S20" s="24" t="str">
        <f t="shared" si="6"/>
        <v/>
      </c>
      <c r="T20" s="24" t="str">
        <f t="shared" si="6"/>
        <v/>
      </c>
      <c r="U20" s="24" t="str">
        <f t="shared" si="6"/>
        <v/>
      </c>
      <c r="V20" s="24" t="str">
        <f t="shared" si="6"/>
        <v/>
      </c>
      <c r="W20" s="24" t="str">
        <f t="shared" si="6"/>
        <v/>
      </c>
      <c r="X20" s="24" t="str">
        <f t="shared" si="6"/>
        <v/>
      </c>
      <c r="Y20" s="24" t="str">
        <f t="shared" si="6"/>
        <v/>
      </c>
      <c r="Z20" s="24" t="str">
        <f t="shared" si="6"/>
        <v/>
      </c>
      <c r="AA20" s="24" t="str">
        <f t="shared" si="6"/>
        <v/>
      </c>
      <c r="AB20" s="24" t="str">
        <f t="shared" si="6"/>
        <v/>
      </c>
      <c r="AC20" s="24" t="str">
        <f t="shared" si="6"/>
        <v/>
      </c>
      <c r="AD20" s="24" t="str">
        <f t="shared" si="6"/>
        <v/>
      </c>
      <c r="AE20" s="24" t="str">
        <f t="shared" si="6"/>
        <v/>
      </c>
      <c r="AF20" s="24" t="str">
        <f t="shared" si="6"/>
        <v/>
      </c>
      <c r="AG20" s="24" t="str">
        <f t="shared" si="6"/>
        <v>✔</v>
      </c>
      <c r="AH20" s="24" t="str">
        <f t="shared" si="6"/>
        <v/>
      </c>
      <c r="AI20" s="24" t="str">
        <f t="shared" si="6"/>
        <v/>
      </c>
      <c r="AJ20" s="24" t="str">
        <f t="shared" si="6"/>
        <v/>
      </c>
      <c r="AK20" s="16" t="s">
        <v>802</v>
      </c>
    </row>
    <row r="21" ht="30.75" customHeight="1">
      <c r="A21" s="16">
        <v>7.0</v>
      </c>
      <c r="B21" s="6" t="s">
        <v>1116</v>
      </c>
      <c r="C21" s="6" t="s">
        <v>1117</v>
      </c>
      <c r="D21" s="6" t="s">
        <v>30</v>
      </c>
      <c r="E21" s="8">
        <v>3.0</v>
      </c>
      <c r="F21" s="67"/>
      <c r="G21" s="68">
        <v>46272.0</v>
      </c>
      <c r="H21" s="16" t="s">
        <v>375</v>
      </c>
      <c r="I21" s="68">
        <v>46295.0</v>
      </c>
      <c r="J21" s="16" t="str">
        <f t="shared" ref="J21:AJ21" si="7">IF($I21=J$14,"✔","")</f>
        <v/>
      </c>
      <c r="K21" s="16" t="str">
        <f t="shared" si="7"/>
        <v/>
      </c>
      <c r="L21" s="16" t="str">
        <f t="shared" si="7"/>
        <v/>
      </c>
      <c r="M21" s="16" t="str">
        <f t="shared" si="7"/>
        <v/>
      </c>
      <c r="N21" s="16" t="str">
        <f t="shared" si="7"/>
        <v/>
      </c>
      <c r="O21" s="16" t="str">
        <f t="shared" si="7"/>
        <v/>
      </c>
      <c r="P21" s="16" t="str">
        <f t="shared" si="7"/>
        <v/>
      </c>
      <c r="Q21" s="16" t="str">
        <f t="shared" si="7"/>
        <v/>
      </c>
      <c r="R21" s="16" t="str">
        <f t="shared" si="7"/>
        <v/>
      </c>
      <c r="S21" s="16" t="str">
        <f t="shared" si="7"/>
        <v/>
      </c>
      <c r="T21" s="16" t="str">
        <f t="shared" si="7"/>
        <v/>
      </c>
      <c r="U21" s="16" t="str">
        <f t="shared" si="7"/>
        <v/>
      </c>
      <c r="V21" s="16" t="str">
        <f t="shared" si="7"/>
        <v/>
      </c>
      <c r="W21" s="16" t="str">
        <f t="shared" si="7"/>
        <v/>
      </c>
      <c r="X21" s="16" t="str">
        <f t="shared" si="7"/>
        <v/>
      </c>
      <c r="Y21" s="16" t="str">
        <f t="shared" si="7"/>
        <v/>
      </c>
      <c r="Z21" s="16" t="str">
        <f t="shared" si="7"/>
        <v/>
      </c>
      <c r="AA21" s="16" t="str">
        <f t="shared" si="7"/>
        <v/>
      </c>
      <c r="AB21" s="16" t="str">
        <f t="shared" si="7"/>
        <v/>
      </c>
      <c r="AC21" s="16" t="str">
        <f t="shared" si="7"/>
        <v/>
      </c>
      <c r="AD21" s="16" t="str">
        <f t="shared" si="7"/>
        <v/>
      </c>
      <c r="AE21" s="16" t="str">
        <f t="shared" si="7"/>
        <v/>
      </c>
      <c r="AF21" s="16" t="str">
        <f t="shared" si="7"/>
        <v/>
      </c>
      <c r="AG21" s="16" t="str">
        <f t="shared" si="7"/>
        <v>✔</v>
      </c>
      <c r="AH21" s="16" t="str">
        <f t="shared" si="7"/>
        <v/>
      </c>
      <c r="AI21" s="16" t="str">
        <f t="shared" si="7"/>
        <v/>
      </c>
      <c r="AJ21" s="16" t="str">
        <f t="shared" si="7"/>
        <v/>
      </c>
      <c r="AK21" s="16" t="s">
        <v>802</v>
      </c>
    </row>
    <row r="22" ht="30.75" customHeight="1">
      <c r="A22" s="24">
        <v>8.0</v>
      </c>
      <c r="B22" s="11" t="s">
        <v>1121</v>
      </c>
      <c r="C22" s="11" t="s">
        <v>392</v>
      </c>
      <c r="D22" s="11" t="s">
        <v>30</v>
      </c>
      <c r="E22" s="13">
        <v>2.0</v>
      </c>
      <c r="F22" s="67"/>
      <c r="G22" s="70">
        <v>46272.0</v>
      </c>
      <c r="H22" s="24" t="s">
        <v>375</v>
      </c>
      <c r="I22" s="70">
        <v>46296.0</v>
      </c>
      <c r="J22" s="24" t="str">
        <f t="shared" ref="J22:AJ22" si="8">IF($I22=J$14,"✔","")</f>
        <v/>
      </c>
      <c r="K22" s="24" t="str">
        <f t="shared" si="8"/>
        <v/>
      </c>
      <c r="L22" s="24" t="str">
        <f t="shared" si="8"/>
        <v/>
      </c>
      <c r="M22" s="24" t="str">
        <f t="shared" si="8"/>
        <v/>
      </c>
      <c r="N22" s="24" t="str">
        <f t="shared" si="8"/>
        <v/>
      </c>
      <c r="O22" s="24" t="str">
        <f t="shared" si="8"/>
        <v/>
      </c>
      <c r="P22" s="24" t="str">
        <f t="shared" si="8"/>
        <v/>
      </c>
      <c r="Q22" s="24" t="str">
        <f t="shared" si="8"/>
        <v/>
      </c>
      <c r="R22" s="24" t="str">
        <f t="shared" si="8"/>
        <v/>
      </c>
      <c r="S22" s="24" t="str">
        <f t="shared" si="8"/>
        <v/>
      </c>
      <c r="T22" s="24" t="str">
        <f t="shared" si="8"/>
        <v/>
      </c>
      <c r="U22" s="24" t="str">
        <f t="shared" si="8"/>
        <v/>
      </c>
      <c r="V22" s="24" t="str">
        <f t="shared" si="8"/>
        <v/>
      </c>
      <c r="W22" s="24" t="str">
        <f t="shared" si="8"/>
        <v/>
      </c>
      <c r="X22" s="24" t="str">
        <f t="shared" si="8"/>
        <v/>
      </c>
      <c r="Y22" s="24" t="str">
        <f t="shared" si="8"/>
        <v/>
      </c>
      <c r="Z22" s="24" t="str">
        <f t="shared" si="8"/>
        <v/>
      </c>
      <c r="AA22" s="24" t="str">
        <f t="shared" si="8"/>
        <v/>
      </c>
      <c r="AB22" s="24" t="str">
        <f t="shared" si="8"/>
        <v/>
      </c>
      <c r="AC22" s="24" t="str">
        <f t="shared" si="8"/>
        <v/>
      </c>
      <c r="AD22" s="24" t="str">
        <f t="shared" si="8"/>
        <v/>
      </c>
      <c r="AE22" s="24" t="str">
        <f t="shared" si="8"/>
        <v/>
      </c>
      <c r="AF22" s="24" t="str">
        <f t="shared" si="8"/>
        <v/>
      </c>
      <c r="AG22" s="24" t="str">
        <f t="shared" si="8"/>
        <v/>
      </c>
      <c r="AH22" s="24" t="str">
        <f t="shared" si="8"/>
        <v>✔</v>
      </c>
      <c r="AI22" s="24" t="str">
        <f t="shared" si="8"/>
        <v/>
      </c>
      <c r="AJ22" s="24" t="str">
        <f t="shared" si="8"/>
        <v/>
      </c>
      <c r="AK22" s="69" t="s">
        <v>802</v>
      </c>
    </row>
    <row r="23" ht="30.75" customHeight="1">
      <c r="A23" s="16">
        <v>9.0</v>
      </c>
      <c r="B23" s="6" t="s">
        <v>1015</v>
      </c>
      <c r="C23" s="6" t="s">
        <v>1082</v>
      </c>
      <c r="D23" s="6" t="s">
        <v>30</v>
      </c>
      <c r="E23" s="8">
        <v>3.0</v>
      </c>
      <c r="F23" s="67"/>
      <c r="G23" s="68">
        <v>46272.0</v>
      </c>
      <c r="H23" s="16" t="s">
        <v>375</v>
      </c>
      <c r="I23" s="68">
        <v>46297.0</v>
      </c>
      <c r="J23" s="16" t="str">
        <f t="shared" ref="J23:AJ23" si="9">IF($I23=J$14,"✔","")</f>
        <v/>
      </c>
      <c r="K23" s="16" t="str">
        <f t="shared" si="9"/>
        <v/>
      </c>
      <c r="L23" s="16" t="str">
        <f t="shared" si="9"/>
        <v/>
      </c>
      <c r="M23" s="16" t="str">
        <f t="shared" si="9"/>
        <v/>
      </c>
      <c r="N23" s="16" t="str">
        <f t="shared" si="9"/>
        <v/>
      </c>
      <c r="O23" s="16" t="str">
        <f t="shared" si="9"/>
        <v/>
      </c>
      <c r="P23" s="16" t="str">
        <f t="shared" si="9"/>
        <v/>
      </c>
      <c r="Q23" s="16" t="str">
        <f t="shared" si="9"/>
        <v/>
      </c>
      <c r="R23" s="16" t="str">
        <f t="shared" si="9"/>
        <v/>
      </c>
      <c r="S23" s="16" t="str">
        <f t="shared" si="9"/>
        <v/>
      </c>
      <c r="T23" s="16" t="str">
        <f t="shared" si="9"/>
        <v/>
      </c>
      <c r="U23" s="16" t="str">
        <f t="shared" si="9"/>
        <v/>
      </c>
      <c r="V23" s="16" t="str">
        <f t="shared" si="9"/>
        <v/>
      </c>
      <c r="W23" s="16" t="str">
        <f t="shared" si="9"/>
        <v/>
      </c>
      <c r="X23" s="16" t="str">
        <f t="shared" si="9"/>
        <v/>
      </c>
      <c r="Y23" s="16" t="str">
        <f t="shared" si="9"/>
        <v/>
      </c>
      <c r="Z23" s="16" t="str">
        <f t="shared" si="9"/>
        <v/>
      </c>
      <c r="AA23" s="16" t="str">
        <f t="shared" si="9"/>
        <v/>
      </c>
      <c r="AB23" s="16" t="str">
        <f t="shared" si="9"/>
        <v/>
      </c>
      <c r="AC23" s="16" t="str">
        <f t="shared" si="9"/>
        <v/>
      </c>
      <c r="AD23" s="16" t="str">
        <f t="shared" si="9"/>
        <v/>
      </c>
      <c r="AE23" s="16" t="str">
        <f t="shared" si="9"/>
        <v/>
      </c>
      <c r="AF23" s="16" t="str">
        <f t="shared" si="9"/>
        <v/>
      </c>
      <c r="AG23" s="16" t="str">
        <f t="shared" si="9"/>
        <v/>
      </c>
      <c r="AH23" s="16" t="str">
        <f t="shared" si="9"/>
        <v/>
      </c>
      <c r="AI23" s="16" t="str">
        <f t="shared" si="9"/>
        <v>✔</v>
      </c>
      <c r="AJ23" s="16" t="str">
        <f t="shared" si="9"/>
        <v/>
      </c>
      <c r="AK23" s="69" t="s">
        <v>802</v>
      </c>
    </row>
    <row r="24" ht="30.75" customHeight="1">
      <c r="A24" s="24">
        <v>10.0</v>
      </c>
      <c r="B24" s="11" t="s">
        <v>1138</v>
      </c>
      <c r="C24" s="11" t="s">
        <v>1082</v>
      </c>
      <c r="D24" s="11" t="s">
        <v>30</v>
      </c>
      <c r="E24" s="13">
        <v>1.0</v>
      </c>
      <c r="F24" s="67"/>
      <c r="G24" s="70">
        <v>46272.0</v>
      </c>
      <c r="H24" s="24" t="s">
        <v>375</v>
      </c>
      <c r="I24" s="70">
        <v>46298.0</v>
      </c>
      <c r="J24" s="24" t="str">
        <f t="shared" ref="J24:AJ24" si="10">IF($I24=J$14,"✔","")</f>
        <v/>
      </c>
      <c r="K24" s="24" t="str">
        <f t="shared" si="10"/>
        <v/>
      </c>
      <c r="L24" s="24" t="str">
        <f t="shared" si="10"/>
        <v/>
      </c>
      <c r="M24" s="24" t="str">
        <f t="shared" si="10"/>
        <v/>
      </c>
      <c r="N24" s="24" t="str">
        <f t="shared" si="10"/>
        <v/>
      </c>
      <c r="O24" s="24" t="str">
        <f t="shared" si="10"/>
        <v/>
      </c>
      <c r="P24" s="24" t="str">
        <f t="shared" si="10"/>
        <v/>
      </c>
      <c r="Q24" s="24" t="str">
        <f t="shared" si="10"/>
        <v/>
      </c>
      <c r="R24" s="24" t="str">
        <f t="shared" si="10"/>
        <v/>
      </c>
      <c r="S24" s="24" t="str">
        <f t="shared" si="10"/>
        <v/>
      </c>
      <c r="T24" s="24" t="str">
        <f t="shared" si="10"/>
        <v/>
      </c>
      <c r="U24" s="24" t="str">
        <f t="shared" si="10"/>
        <v/>
      </c>
      <c r="V24" s="24" t="str">
        <f t="shared" si="10"/>
        <v/>
      </c>
      <c r="W24" s="24" t="str">
        <f t="shared" si="10"/>
        <v/>
      </c>
      <c r="X24" s="24" t="str">
        <f t="shared" si="10"/>
        <v/>
      </c>
      <c r="Y24" s="24" t="str">
        <f t="shared" si="10"/>
        <v/>
      </c>
      <c r="Z24" s="24" t="str">
        <f t="shared" si="10"/>
        <v/>
      </c>
      <c r="AA24" s="24" t="str">
        <f t="shared" si="10"/>
        <v/>
      </c>
      <c r="AB24" s="24" t="str">
        <f t="shared" si="10"/>
        <v/>
      </c>
      <c r="AC24" s="24" t="str">
        <f t="shared" si="10"/>
        <v/>
      </c>
      <c r="AD24" s="24" t="str">
        <f t="shared" si="10"/>
        <v/>
      </c>
      <c r="AE24" s="24" t="str">
        <f t="shared" si="10"/>
        <v/>
      </c>
      <c r="AF24" s="24" t="str">
        <f t="shared" si="10"/>
        <v/>
      </c>
      <c r="AG24" s="24" t="str">
        <f t="shared" si="10"/>
        <v/>
      </c>
      <c r="AH24" s="24" t="str">
        <f t="shared" si="10"/>
        <v/>
      </c>
      <c r="AI24" s="24" t="str">
        <f t="shared" si="10"/>
        <v/>
      </c>
      <c r="AJ24" s="24" t="str">
        <f t="shared" si="10"/>
        <v>✔</v>
      </c>
      <c r="AK24" s="16" t="s">
        <v>802</v>
      </c>
    </row>
    <row r="25" ht="30.75" customHeight="1">
      <c r="A25" s="16">
        <v>11.0</v>
      </c>
      <c r="B25" s="6" t="s">
        <v>1147</v>
      </c>
      <c r="C25" s="6" t="s">
        <v>452</v>
      </c>
      <c r="D25" s="6" t="s">
        <v>30</v>
      </c>
      <c r="E25" s="8">
        <v>6.0</v>
      </c>
      <c r="F25" s="67"/>
      <c r="G25" s="68">
        <v>46272.0</v>
      </c>
      <c r="H25" s="16" t="s">
        <v>375</v>
      </c>
      <c r="I25" s="68">
        <v>46298.0</v>
      </c>
      <c r="J25" s="16" t="str">
        <f t="shared" ref="J25:AJ25" si="11">IF($I25=J$14,"✔","")</f>
        <v/>
      </c>
      <c r="K25" s="16" t="str">
        <f t="shared" si="11"/>
        <v/>
      </c>
      <c r="L25" s="16" t="str">
        <f t="shared" si="11"/>
        <v/>
      </c>
      <c r="M25" s="16" t="str">
        <f t="shared" si="11"/>
        <v/>
      </c>
      <c r="N25" s="16" t="str">
        <f t="shared" si="11"/>
        <v/>
      </c>
      <c r="O25" s="16" t="str">
        <f t="shared" si="11"/>
        <v/>
      </c>
      <c r="P25" s="16" t="str">
        <f t="shared" si="11"/>
        <v/>
      </c>
      <c r="Q25" s="16" t="str">
        <f t="shared" si="11"/>
        <v/>
      </c>
      <c r="R25" s="16" t="str">
        <f t="shared" si="11"/>
        <v/>
      </c>
      <c r="S25" s="16" t="str">
        <f t="shared" si="11"/>
        <v/>
      </c>
      <c r="T25" s="16" t="str">
        <f t="shared" si="11"/>
        <v/>
      </c>
      <c r="U25" s="16" t="str">
        <f t="shared" si="11"/>
        <v/>
      </c>
      <c r="V25" s="16" t="str">
        <f t="shared" si="11"/>
        <v/>
      </c>
      <c r="W25" s="16" t="str">
        <f t="shared" si="11"/>
        <v/>
      </c>
      <c r="X25" s="16" t="str">
        <f t="shared" si="11"/>
        <v/>
      </c>
      <c r="Y25" s="16" t="str">
        <f t="shared" si="11"/>
        <v/>
      </c>
      <c r="Z25" s="16" t="str">
        <f t="shared" si="11"/>
        <v/>
      </c>
      <c r="AA25" s="16" t="str">
        <f t="shared" si="11"/>
        <v/>
      </c>
      <c r="AB25" s="16" t="str">
        <f t="shared" si="11"/>
        <v/>
      </c>
      <c r="AC25" s="16" t="str">
        <f t="shared" si="11"/>
        <v/>
      </c>
      <c r="AD25" s="16" t="str">
        <f t="shared" si="11"/>
        <v/>
      </c>
      <c r="AE25" s="16" t="str">
        <f t="shared" si="11"/>
        <v/>
      </c>
      <c r="AF25" s="16" t="str">
        <f t="shared" si="11"/>
        <v/>
      </c>
      <c r="AG25" s="16" t="str">
        <f t="shared" si="11"/>
        <v/>
      </c>
      <c r="AH25" s="16" t="str">
        <f t="shared" si="11"/>
        <v/>
      </c>
      <c r="AI25" s="16" t="str">
        <f t="shared" si="11"/>
        <v/>
      </c>
      <c r="AJ25" s="16" t="str">
        <f t="shared" si="11"/>
        <v>✔</v>
      </c>
      <c r="AK25" s="16" t="s">
        <v>802</v>
      </c>
    </row>
    <row r="26" ht="17.25" customHeight="1">
      <c r="A26" s="24">
        <v>12.0</v>
      </c>
      <c r="B26" s="11" t="s">
        <v>1150</v>
      </c>
      <c r="C26" s="11" t="s">
        <v>1107</v>
      </c>
      <c r="D26" s="11" t="s">
        <v>30</v>
      </c>
      <c r="E26" s="13">
        <v>2.0</v>
      </c>
      <c r="F26" s="67"/>
      <c r="G26" s="70">
        <v>46272.0</v>
      </c>
      <c r="H26" s="24" t="s">
        <v>375</v>
      </c>
      <c r="I26" s="70">
        <v>46298.0</v>
      </c>
      <c r="J26" s="24" t="str">
        <f t="shared" ref="J26:AJ26" si="12">IF($I26=J$14,"✔","")</f>
        <v/>
      </c>
      <c r="K26" s="24" t="str">
        <f t="shared" si="12"/>
        <v/>
      </c>
      <c r="L26" s="24" t="str">
        <f t="shared" si="12"/>
        <v/>
      </c>
      <c r="M26" s="24" t="str">
        <f t="shared" si="12"/>
        <v/>
      </c>
      <c r="N26" s="24" t="str">
        <f t="shared" si="12"/>
        <v/>
      </c>
      <c r="O26" s="24" t="str">
        <f t="shared" si="12"/>
        <v/>
      </c>
      <c r="P26" s="24" t="str">
        <f t="shared" si="12"/>
        <v/>
      </c>
      <c r="Q26" s="24" t="str">
        <f t="shared" si="12"/>
        <v/>
      </c>
      <c r="R26" s="24" t="str">
        <f t="shared" si="12"/>
        <v/>
      </c>
      <c r="S26" s="24" t="str">
        <f t="shared" si="12"/>
        <v/>
      </c>
      <c r="T26" s="24" t="str">
        <f t="shared" si="12"/>
        <v/>
      </c>
      <c r="U26" s="24" t="str">
        <f t="shared" si="12"/>
        <v/>
      </c>
      <c r="V26" s="24" t="str">
        <f t="shared" si="12"/>
        <v/>
      </c>
      <c r="W26" s="24" t="str">
        <f t="shared" si="12"/>
        <v/>
      </c>
      <c r="X26" s="24" t="str">
        <f t="shared" si="12"/>
        <v/>
      </c>
      <c r="Y26" s="24" t="str">
        <f t="shared" si="12"/>
        <v/>
      </c>
      <c r="Z26" s="24" t="str">
        <f t="shared" si="12"/>
        <v/>
      </c>
      <c r="AA26" s="24" t="str">
        <f t="shared" si="12"/>
        <v/>
      </c>
      <c r="AB26" s="24" t="str">
        <f t="shared" si="12"/>
        <v/>
      </c>
      <c r="AC26" s="24" t="str">
        <f t="shared" si="12"/>
        <v/>
      </c>
      <c r="AD26" s="24" t="str">
        <f t="shared" si="12"/>
        <v/>
      </c>
      <c r="AE26" s="24" t="str">
        <f t="shared" si="12"/>
        <v/>
      </c>
      <c r="AF26" s="24" t="str">
        <f t="shared" si="12"/>
        <v/>
      </c>
      <c r="AG26" s="24" t="str">
        <f t="shared" si="12"/>
        <v/>
      </c>
      <c r="AH26" s="24" t="str">
        <f t="shared" si="12"/>
        <v/>
      </c>
      <c r="AI26" s="24" t="str">
        <f t="shared" si="12"/>
        <v/>
      </c>
      <c r="AJ26" s="24" t="str">
        <f t="shared" si="12"/>
        <v>✔</v>
      </c>
      <c r="AK26" s="69" t="s">
        <v>802</v>
      </c>
    </row>
    <row r="27" ht="15.75" customHeight="1">
      <c r="A27" s="74"/>
      <c r="B27" s="74" t="s">
        <v>260</v>
      </c>
      <c r="C27" s="74"/>
      <c r="D27" s="74"/>
      <c r="E27" s="75">
        <f t="shared" ref="E27:F27" si="13">SUM(E15:E26)</f>
        <v>34</v>
      </c>
      <c r="F27" s="75">
        <f t="shared" si="13"/>
        <v>0</v>
      </c>
      <c r="G27" s="74"/>
      <c r="H27" s="75" t="str">
        <f>COUNTIF(H15:H26,"Hecho")&amp;" hechas"</f>
        <v>12 hechas</v>
      </c>
      <c r="I27" s="74"/>
      <c r="J27" s="74"/>
      <c r="K27" s="74"/>
      <c r="L27" s="74"/>
      <c r="M27" s="74"/>
      <c r="N27" s="74"/>
      <c r="O27" s="74"/>
      <c r="P27" s="74"/>
      <c r="Q27" s="74"/>
      <c r="R27" s="74"/>
      <c r="S27" s="74"/>
      <c r="T27" s="74"/>
      <c r="U27" s="74"/>
      <c r="V27" s="74"/>
      <c r="W27" s="74"/>
      <c r="X27" s="74"/>
      <c r="Y27" s="74"/>
      <c r="Z27" s="74"/>
      <c r="AA27" s="74"/>
      <c r="AB27" s="74"/>
      <c r="AC27" s="74"/>
      <c r="AD27" s="74"/>
      <c r="AE27" s="74"/>
      <c r="AF27" s="74"/>
      <c r="AG27" s="74"/>
      <c r="AH27" s="74"/>
      <c r="AI27" s="74"/>
      <c r="AJ27" s="74"/>
      <c r="AK27" s="74"/>
    </row>
    <row r="28" ht="15.75" customHeight="1"/>
    <row r="29" ht="18.0" customHeight="1">
      <c r="A29" s="27" t="s">
        <v>830</v>
      </c>
    </row>
    <row r="30" ht="27.75" customHeight="1">
      <c r="A30" s="76" t="s">
        <v>834</v>
      </c>
      <c r="B30" s="76" t="s">
        <v>836</v>
      </c>
      <c r="C30" s="76" t="s">
        <v>837</v>
      </c>
      <c r="D30" s="76" t="s">
        <v>838</v>
      </c>
    </row>
    <row r="31" ht="15.75" customHeight="1">
      <c r="A31" s="78">
        <v>0.0</v>
      </c>
      <c r="B31" s="78" t="s">
        <v>840</v>
      </c>
      <c r="C31" s="78">
        <f t="shared" ref="C31:C58" si="14">IF($C$10=0,"",ROUND($C$10-$C$10*A31/27,1))</f>
        <v>12</v>
      </c>
      <c r="D31" s="78">
        <v>12.0</v>
      </c>
    </row>
    <row r="32" ht="15.75" customHeight="1">
      <c r="A32" s="78">
        <v>1.0</v>
      </c>
      <c r="B32" s="78" t="s">
        <v>884</v>
      </c>
      <c r="C32" s="78">
        <f t="shared" si="14"/>
        <v>11.6</v>
      </c>
      <c r="D32" s="78">
        <v>12.0</v>
      </c>
    </row>
    <row r="33" ht="15.75" customHeight="1">
      <c r="A33" s="78">
        <v>2.0</v>
      </c>
      <c r="B33" s="78" t="s">
        <v>886</v>
      </c>
      <c r="C33" s="78">
        <f t="shared" si="14"/>
        <v>11.1</v>
      </c>
      <c r="D33" s="78">
        <v>12.0</v>
      </c>
    </row>
    <row r="34" ht="15.75" customHeight="1">
      <c r="A34" s="78">
        <v>3.0</v>
      </c>
      <c r="B34" s="78" t="s">
        <v>888</v>
      </c>
      <c r="C34" s="78">
        <f t="shared" si="14"/>
        <v>10.7</v>
      </c>
      <c r="D34" s="78">
        <v>12.0</v>
      </c>
    </row>
    <row r="35" ht="15.75" customHeight="1">
      <c r="A35" s="78">
        <v>4.0</v>
      </c>
      <c r="B35" s="78" t="s">
        <v>890</v>
      </c>
      <c r="C35" s="78">
        <f t="shared" si="14"/>
        <v>10.2</v>
      </c>
      <c r="D35" s="78">
        <v>12.0</v>
      </c>
    </row>
    <row r="36" ht="15.75" customHeight="1">
      <c r="A36" s="78">
        <v>5.0</v>
      </c>
      <c r="B36" s="78" t="s">
        <v>893</v>
      </c>
      <c r="C36" s="78">
        <f t="shared" si="14"/>
        <v>9.8</v>
      </c>
      <c r="D36" s="78">
        <v>12.0</v>
      </c>
    </row>
    <row r="37" ht="15.75" customHeight="1">
      <c r="A37" s="78">
        <v>6.0</v>
      </c>
      <c r="B37" s="78" t="s">
        <v>894</v>
      </c>
      <c r="C37" s="78">
        <f t="shared" si="14"/>
        <v>9.3</v>
      </c>
      <c r="D37" s="78">
        <v>12.0</v>
      </c>
    </row>
    <row r="38" ht="15.75" customHeight="1">
      <c r="A38" s="78">
        <v>7.0</v>
      </c>
      <c r="B38" s="78" t="s">
        <v>896</v>
      </c>
      <c r="C38" s="78">
        <f t="shared" si="14"/>
        <v>8.9</v>
      </c>
      <c r="D38" s="78">
        <v>12.0</v>
      </c>
    </row>
    <row r="39" ht="15.75" customHeight="1">
      <c r="A39" s="78">
        <v>8.0</v>
      </c>
      <c r="B39" s="78" t="s">
        <v>899</v>
      </c>
      <c r="C39" s="78">
        <f t="shared" si="14"/>
        <v>8.4</v>
      </c>
      <c r="D39" s="78">
        <v>10.0</v>
      </c>
    </row>
    <row r="40" ht="15.75" customHeight="1">
      <c r="A40" s="78">
        <v>9.0</v>
      </c>
      <c r="B40" s="78" t="s">
        <v>901</v>
      </c>
      <c r="C40" s="78">
        <f t="shared" si="14"/>
        <v>8</v>
      </c>
      <c r="D40" s="78">
        <v>10.0</v>
      </c>
    </row>
    <row r="41" ht="15.75" customHeight="1">
      <c r="A41" s="78">
        <v>10.0</v>
      </c>
      <c r="B41" s="78" t="s">
        <v>903</v>
      </c>
      <c r="C41" s="78">
        <f t="shared" si="14"/>
        <v>7.6</v>
      </c>
      <c r="D41" s="78">
        <v>10.0</v>
      </c>
    </row>
    <row r="42" ht="15.75" customHeight="1">
      <c r="A42" s="78">
        <v>11.0</v>
      </c>
      <c r="B42" s="78" t="s">
        <v>905</v>
      </c>
      <c r="C42" s="78">
        <f t="shared" si="14"/>
        <v>7.1</v>
      </c>
      <c r="D42" s="78">
        <v>10.0</v>
      </c>
    </row>
    <row r="43" ht="15.75" customHeight="1">
      <c r="A43" s="78">
        <v>12.0</v>
      </c>
      <c r="B43" s="78" t="s">
        <v>907</v>
      </c>
      <c r="C43" s="78">
        <f t="shared" si="14"/>
        <v>6.7</v>
      </c>
      <c r="D43" s="78">
        <v>10.0</v>
      </c>
    </row>
    <row r="44" ht="15.75" customHeight="1">
      <c r="A44" s="78">
        <v>13.0</v>
      </c>
      <c r="B44" s="78" t="s">
        <v>908</v>
      </c>
      <c r="C44" s="78">
        <f t="shared" si="14"/>
        <v>6.2</v>
      </c>
      <c r="D44" s="78">
        <v>10.0</v>
      </c>
    </row>
    <row r="45" ht="15.75" customHeight="1">
      <c r="A45" s="78">
        <v>14.0</v>
      </c>
      <c r="B45" s="78" t="s">
        <v>910</v>
      </c>
      <c r="C45" s="78">
        <f t="shared" si="14"/>
        <v>5.8</v>
      </c>
      <c r="D45" s="78">
        <v>10.0</v>
      </c>
    </row>
    <row r="46" ht="15.75" customHeight="1">
      <c r="A46" s="78">
        <v>15.0</v>
      </c>
      <c r="B46" s="78" t="s">
        <v>912</v>
      </c>
      <c r="C46" s="78">
        <f t="shared" si="14"/>
        <v>5.3</v>
      </c>
      <c r="D46" s="78">
        <v>9.0</v>
      </c>
    </row>
    <row r="47" ht="15.75" customHeight="1">
      <c r="A47" s="78">
        <v>16.0</v>
      </c>
      <c r="B47" s="78" t="s">
        <v>914</v>
      </c>
      <c r="C47" s="78">
        <f t="shared" si="14"/>
        <v>4.9</v>
      </c>
      <c r="D47" s="78">
        <v>9.0</v>
      </c>
    </row>
    <row r="48" ht="15.75" customHeight="1">
      <c r="A48" s="78">
        <v>17.0</v>
      </c>
      <c r="B48" s="78" t="s">
        <v>916</v>
      </c>
      <c r="C48" s="78">
        <f t="shared" si="14"/>
        <v>4.4</v>
      </c>
      <c r="D48" s="78">
        <v>9.0</v>
      </c>
    </row>
    <row r="49" ht="15.75" customHeight="1">
      <c r="A49" s="78">
        <v>18.0</v>
      </c>
      <c r="B49" s="78" t="s">
        <v>862</v>
      </c>
      <c r="C49" s="78">
        <f t="shared" si="14"/>
        <v>4</v>
      </c>
      <c r="D49" s="78">
        <v>9.0</v>
      </c>
    </row>
    <row r="50" ht="15.75" customHeight="1">
      <c r="A50" s="78">
        <v>19.0</v>
      </c>
      <c r="B50" s="78" t="s">
        <v>869</v>
      </c>
      <c r="C50" s="78">
        <f t="shared" si="14"/>
        <v>3.6</v>
      </c>
      <c r="D50" s="78">
        <v>9.0</v>
      </c>
    </row>
    <row r="51" ht="15.75" customHeight="1">
      <c r="A51" s="78">
        <v>20.0</v>
      </c>
      <c r="B51" s="78" t="s">
        <v>873</v>
      </c>
      <c r="C51" s="78">
        <f t="shared" si="14"/>
        <v>3.1</v>
      </c>
      <c r="D51" s="78">
        <v>9.0</v>
      </c>
    </row>
    <row r="52" ht="15.75" customHeight="1">
      <c r="A52" s="78">
        <v>21.0</v>
      </c>
      <c r="B52" s="78" t="s">
        <v>875</v>
      </c>
      <c r="C52" s="78">
        <f t="shared" si="14"/>
        <v>2.7</v>
      </c>
      <c r="D52" s="78">
        <v>9.0</v>
      </c>
    </row>
    <row r="53" ht="15.75" customHeight="1">
      <c r="A53" s="78">
        <v>22.0</v>
      </c>
      <c r="B53" s="78" t="s">
        <v>876</v>
      </c>
      <c r="C53" s="78">
        <f t="shared" si="14"/>
        <v>2.2</v>
      </c>
      <c r="D53" s="78">
        <v>8.0</v>
      </c>
    </row>
    <row r="54" ht="15.75" customHeight="1">
      <c r="A54" s="78">
        <v>23.0</v>
      </c>
      <c r="B54" s="78" t="s">
        <v>877</v>
      </c>
      <c r="C54" s="78">
        <f t="shared" si="14"/>
        <v>1.8</v>
      </c>
      <c r="D54" s="78">
        <v>7.0</v>
      </c>
    </row>
    <row r="55" ht="15.75" customHeight="1">
      <c r="A55" s="78">
        <v>24.0</v>
      </c>
      <c r="B55" s="78" t="s">
        <v>878</v>
      </c>
      <c r="C55" s="78">
        <f t="shared" si="14"/>
        <v>1.3</v>
      </c>
      <c r="D55" s="78">
        <v>5.0</v>
      </c>
    </row>
    <row r="56" ht="15.75" customHeight="1">
      <c r="A56" s="78">
        <v>25.0</v>
      </c>
      <c r="B56" s="78" t="s">
        <v>879</v>
      </c>
      <c r="C56" s="78">
        <f t="shared" si="14"/>
        <v>0.9</v>
      </c>
      <c r="D56" s="78">
        <v>4.0</v>
      </c>
    </row>
    <row r="57" ht="15.75" customHeight="1">
      <c r="A57" s="78">
        <v>26.0</v>
      </c>
      <c r="B57" s="78" t="s">
        <v>880</v>
      </c>
      <c r="C57" s="78">
        <f t="shared" si="14"/>
        <v>0.4</v>
      </c>
      <c r="D57" s="78">
        <v>3.0</v>
      </c>
    </row>
    <row r="58" ht="15.75" customHeight="1">
      <c r="A58" s="78">
        <v>27.0</v>
      </c>
      <c r="B58" s="78" t="s">
        <v>881</v>
      </c>
      <c r="C58" s="78">
        <f t="shared" si="14"/>
        <v>0</v>
      </c>
      <c r="D58" s="78">
        <v>0.0</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3:AK3"/>
    <mergeCell ref="C6:AK6"/>
    <mergeCell ref="C7:AK7"/>
    <mergeCell ref="A13:I13"/>
    <mergeCell ref="J13:AJ13"/>
  </mergeCells>
  <conditionalFormatting sqref="H15:H26">
    <cfRule type="expression" dxfId="0" priority="1">
      <formula>H15="Hecho"</formula>
    </cfRule>
  </conditionalFormatting>
  <conditionalFormatting sqref="H15:H26">
    <cfRule type="expression" dxfId="0" priority="2">
      <formula>H15="Aprobado"</formula>
    </cfRule>
  </conditionalFormatting>
  <conditionalFormatting sqref="H15:H26">
    <cfRule type="expression" dxfId="0" priority="3">
      <formula>H15="Cerrado"</formula>
    </cfRule>
  </conditionalFormatting>
  <conditionalFormatting sqref="H15:H26">
    <cfRule type="expression" dxfId="0" priority="4">
      <formula>H15="Implementado"</formula>
    </cfRule>
  </conditionalFormatting>
  <conditionalFormatting sqref="H15:H26">
    <cfRule type="expression" dxfId="0" priority="5">
      <formula>H15="Terminado"</formula>
    </cfRule>
  </conditionalFormatting>
  <conditionalFormatting sqref="H15:H26">
    <cfRule type="expression" dxfId="0" priority="6">
      <formula>H15="Aplicado"</formula>
    </cfRule>
  </conditionalFormatting>
  <conditionalFormatting sqref="H15:H26">
    <cfRule type="expression" dxfId="0" priority="7">
      <formula>H15="A"</formula>
    </cfRule>
  </conditionalFormatting>
  <conditionalFormatting sqref="H15:H26">
    <cfRule type="expression" dxfId="1" priority="8">
      <formula>H15="En curso"</formula>
    </cfRule>
  </conditionalFormatting>
  <conditionalFormatting sqref="H15:H26">
    <cfRule type="expression" dxfId="1" priority="9">
      <formula>H15="Pendiente"</formula>
    </cfRule>
  </conditionalFormatting>
  <conditionalFormatting sqref="H15:H26">
    <cfRule type="expression" dxfId="1" priority="10">
      <formula>H15="Corregido"</formula>
    </cfRule>
  </conditionalFormatting>
  <conditionalFormatting sqref="H15:H26">
    <cfRule type="expression" dxfId="1" priority="11">
      <formula>H15="En desarrollo"</formula>
    </cfRule>
  </conditionalFormatting>
  <conditionalFormatting sqref="H15:H26">
    <cfRule type="expression" dxfId="1" priority="12">
      <formula>H15="En evaluación"</formula>
    </cfRule>
  </conditionalFormatting>
  <conditionalFormatting sqref="H15:H26">
    <cfRule type="expression" dxfId="1" priority="13">
      <formula>H15="En ejecución"</formula>
    </cfRule>
  </conditionalFormatting>
  <conditionalFormatting sqref="H15:H26">
    <cfRule type="expression" dxfId="1" priority="14">
      <formula>H15="Prueba de concepto"</formula>
    </cfRule>
  </conditionalFormatting>
  <conditionalFormatting sqref="H15:H26">
    <cfRule type="expression" dxfId="2" priority="15">
      <formula>H15="Por hacer"</formula>
    </cfRule>
  </conditionalFormatting>
  <conditionalFormatting sqref="H15:H26">
    <cfRule type="expression" dxfId="2" priority="16">
      <formula>H15="Planificado"</formula>
    </cfRule>
  </conditionalFormatting>
  <conditionalFormatting sqref="H15:H26">
    <cfRule type="expression" dxfId="2" priority="17">
      <formula>H15="Diseñado"</formula>
    </cfRule>
  </conditionalFormatting>
  <conditionalFormatting sqref="H15:H26">
    <cfRule type="expression" dxfId="3" priority="18">
      <formula>H15="Fallido"</formula>
    </cfRule>
  </conditionalFormatting>
  <conditionalFormatting sqref="H15:H26">
    <cfRule type="expression" dxfId="3" priority="19">
      <formula>H15="Abierto"</formula>
    </cfRule>
  </conditionalFormatting>
  <conditionalFormatting sqref="H15:H26">
    <cfRule type="expression" dxfId="3" priority="20">
      <formula>H15="R"</formula>
    </cfRule>
  </conditionalFormatting>
  <conditionalFormatting sqref="H15:H26">
    <cfRule type="expression" dxfId="4" priority="21">
      <formula>H15="Anulado"</formula>
    </cfRule>
  </conditionalFormatting>
  <conditionalFormatting sqref="H15:H26">
    <cfRule type="expression" dxfId="4" priority="22">
      <formula>H15="Descartada"</formula>
    </cfRule>
  </conditionalFormatting>
  <conditionalFormatting sqref="H15:H26">
    <cfRule type="expression" dxfId="4" priority="23">
      <formula>H15="No aplica"</formula>
    </cfRule>
  </conditionalFormatting>
  <conditionalFormatting sqref="AK15:AK26">
    <cfRule type="expression" dxfId="0" priority="24">
      <formula>AK15="Hecho"</formula>
    </cfRule>
  </conditionalFormatting>
  <conditionalFormatting sqref="AK15:AK26">
    <cfRule type="expression" dxfId="0" priority="25">
      <formula>AK15="Aprobado"</formula>
    </cfRule>
  </conditionalFormatting>
  <conditionalFormatting sqref="AK15:AK26">
    <cfRule type="expression" dxfId="0" priority="26">
      <formula>AK15="Cerrado"</formula>
    </cfRule>
  </conditionalFormatting>
  <conditionalFormatting sqref="AK15:AK26">
    <cfRule type="expression" dxfId="0" priority="27">
      <formula>AK15="Implementado"</formula>
    </cfRule>
  </conditionalFormatting>
  <conditionalFormatting sqref="AK15:AK26">
    <cfRule type="expression" dxfId="0" priority="28">
      <formula>AK15="Terminado"</formula>
    </cfRule>
  </conditionalFormatting>
  <conditionalFormatting sqref="AK15:AK26">
    <cfRule type="expression" dxfId="0" priority="29">
      <formula>AK15="Aplicado"</formula>
    </cfRule>
  </conditionalFormatting>
  <conditionalFormatting sqref="AK15:AK26">
    <cfRule type="expression" dxfId="0" priority="30">
      <formula>AK15="A"</formula>
    </cfRule>
  </conditionalFormatting>
  <conditionalFormatting sqref="AK15:AK26">
    <cfRule type="expression" dxfId="1" priority="31">
      <formula>AK15="En curso"</formula>
    </cfRule>
  </conditionalFormatting>
  <conditionalFormatting sqref="AK15:AK26">
    <cfRule type="expression" dxfId="1" priority="32">
      <formula>AK15="Pendiente"</formula>
    </cfRule>
  </conditionalFormatting>
  <conditionalFormatting sqref="AK15:AK26">
    <cfRule type="expression" dxfId="1" priority="33">
      <formula>AK15="Corregido"</formula>
    </cfRule>
  </conditionalFormatting>
  <conditionalFormatting sqref="AK15:AK26">
    <cfRule type="expression" dxfId="1" priority="34">
      <formula>AK15="En desarrollo"</formula>
    </cfRule>
  </conditionalFormatting>
  <conditionalFormatting sqref="AK15:AK26">
    <cfRule type="expression" dxfId="1" priority="35">
      <formula>AK15="En evaluación"</formula>
    </cfRule>
  </conditionalFormatting>
  <conditionalFormatting sqref="AK15:AK26">
    <cfRule type="expression" dxfId="1" priority="36">
      <formula>AK15="En ejecución"</formula>
    </cfRule>
  </conditionalFormatting>
  <conditionalFormatting sqref="AK15:AK26">
    <cfRule type="expression" dxfId="1" priority="37">
      <formula>AK15="Prueba de concepto"</formula>
    </cfRule>
  </conditionalFormatting>
  <conditionalFormatting sqref="AK15:AK26">
    <cfRule type="expression" dxfId="2" priority="38">
      <formula>AK15="Por hacer"</formula>
    </cfRule>
  </conditionalFormatting>
  <conditionalFormatting sqref="AK15:AK26">
    <cfRule type="expression" dxfId="2" priority="39">
      <formula>AK15="Planificado"</formula>
    </cfRule>
  </conditionalFormatting>
  <conditionalFormatting sqref="AK15:AK26">
    <cfRule type="expression" dxfId="2" priority="40">
      <formula>AK15="Diseñado"</formula>
    </cfRule>
  </conditionalFormatting>
  <conditionalFormatting sqref="AK15:AK26">
    <cfRule type="expression" dxfId="3" priority="41">
      <formula>AK15="Fallido"</formula>
    </cfRule>
  </conditionalFormatting>
  <conditionalFormatting sqref="AK15:AK26">
    <cfRule type="expression" dxfId="3" priority="42">
      <formula>AK15="Abierto"</formula>
    </cfRule>
  </conditionalFormatting>
  <conditionalFormatting sqref="AK15:AK26">
    <cfRule type="expression" dxfId="3" priority="43">
      <formula>AK15="R"</formula>
    </cfRule>
  </conditionalFormatting>
  <conditionalFormatting sqref="AK15:AK26">
    <cfRule type="expression" dxfId="4" priority="44">
      <formula>AK15="Anulado"</formula>
    </cfRule>
  </conditionalFormatting>
  <conditionalFormatting sqref="AK15:AK26">
    <cfRule type="expression" dxfId="4" priority="45">
      <formula>AK15="Descartada"</formula>
    </cfRule>
  </conditionalFormatting>
  <conditionalFormatting sqref="AK15:AK26">
    <cfRule type="expression" dxfId="4" priority="46">
      <formula>AK15="No aplica"</formula>
    </cfRule>
  </conditionalFormatting>
  <conditionalFormatting sqref="J15:AJ26">
    <cfRule type="expression" dxfId="0" priority="47">
      <formula>J15="✔"</formula>
    </cfRule>
  </conditionalFormatting>
  <dataValidations>
    <dataValidation type="list" allowBlank="1" sqref="AK15:AK26">
      <formula1>"A,R"</formula1>
    </dataValidation>
    <dataValidation type="list" allowBlank="1" sqref="H15:H26">
      <formula1>"Por hacer,En curso,Hecho,Descartada"</formula1>
    </dataValidation>
  </dataValidations>
  <printOptions/>
  <pageMargins bottom="0.5" footer="0.0" header="0.0" left="0.4" right="0.4" top="0.5"/>
  <pageSetup fitToHeight="0"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2.0" ySplit="14.0" topLeftCell="C15" activePane="bottomRight" state="frozen"/>
      <selection activeCell="C1" sqref="C1" pane="topRight"/>
      <selection activeCell="A15" sqref="A15" pane="bottomLeft"/>
      <selection activeCell="C15" sqref="C15" pane="bottomRight"/>
    </sheetView>
  </sheetViews>
  <sheetFormatPr customHeight="1" defaultColWidth="14.43" defaultRowHeight="15.0"/>
  <cols>
    <col customWidth="1" min="1" max="1" width="5.0"/>
    <col customWidth="1" min="2" max="2" width="46.0"/>
    <col customWidth="1" min="3" max="3" width="17.0"/>
    <col customWidth="1" min="4" max="4" width="21.14"/>
    <col customWidth="1" min="5" max="7" width="7.0"/>
    <col customWidth="1" min="8" max="8" width="14.86"/>
    <col customWidth="1" min="9" max="9" width="8.0"/>
    <col customWidth="1" min="10" max="29" width="3.71"/>
    <col customWidth="1" min="30" max="30" width="7.0"/>
  </cols>
  <sheetData>
    <row r="1" ht="18.0" customHeight="1">
      <c r="A1" s="1" t="s">
        <v>1069</v>
      </c>
    </row>
    <row r="2">
      <c r="A2" s="2"/>
    </row>
    <row r="3" ht="16.5" customHeight="1">
      <c r="B3" s="56" t="s">
        <v>733</v>
      </c>
      <c r="C3" s="57" t="s">
        <v>763</v>
      </c>
      <c r="D3" s="20"/>
      <c r="E3" s="20"/>
      <c r="F3" s="20"/>
      <c r="G3" s="20"/>
      <c r="H3" s="20"/>
      <c r="I3" s="20"/>
      <c r="J3" s="20"/>
      <c r="K3" s="20"/>
      <c r="L3" s="20"/>
      <c r="M3" s="20"/>
      <c r="N3" s="20"/>
      <c r="O3" s="20"/>
      <c r="P3" s="20"/>
      <c r="Q3" s="20"/>
      <c r="R3" s="20"/>
      <c r="S3" s="20"/>
      <c r="T3" s="20"/>
      <c r="U3" s="20"/>
      <c r="V3" s="20"/>
      <c r="W3" s="20"/>
      <c r="X3" s="20"/>
      <c r="Y3" s="20"/>
      <c r="Z3" s="20"/>
      <c r="AA3" s="20"/>
      <c r="AB3" s="20"/>
      <c r="AC3" s="20"/>
      <c r="AD3" s="21"/>
    </row>
    <row r="4" ht="16.5" customHeight="1">
      <c r="B4" s="56" t="s">
        <v>731</v>
      </c>
      <c r="C4" s="59">
        <v>46289.0</v>
      </c>
    </row>
    <row r="5" ht="16.5" customHeight="1">
      <c r="B5" s="56" t="s">
        <v>713</v>
      </c>
      <c r="C5" s="59">
        <f>IF(C4="","",C4+19)</f>
        <v>46308</v>
      </c>
    </row>
    <row r="6" ht="16.5" customHeight="1">
      <c r="B6" s="56" t="s">
        <v>781</v>
      </c>
      <c r="C6" s="60"/>
      <c r="D6" s="20"/>
      <c r="E6" s="20"/>
      <c r="F6" s="20"/>
      <c r="G6" s="20"/>
      <c r="H6" s="20"/>
      <c r="I6" s="20"/>
      <c r="J6" s="20"/>
      <c r="K6" s="20"/>
      <c r="L6" s="20"/>
      <c r="M6" s="20"/>
      <c r="N6" s="20"/>
      <c r="O6" s="20"/>
      <c r="P6" s="20"/>
      <c r="Q6" s="20"/>
      <c r="R6" s="20"/>
      <c r="S6" s="20"/>
      <c r="T6" s="20"/>
      <c r="U6" s="20"/>
      <c r="V6" s="20"/>
      <c r="W6" s="20"/>
      <c r="X6" s="20"/>
      <c r="Y6" s="20"/>
      <c r="Z6" s="20"/>
      <c r="AA6" s="20"/>
      <c r="AB6" s="20"/>
      <c r="AC6" s="20"/>
      <c r="AD6" s="21"/>
    </row>
    <row r="7" ht="16.5" customHeight="1">
      <c r="B7" s="56" t="s">
        <v>782</v>
      </c>
      <c r="C7" s="57" t="s">
        <v>1073</v>
      </c>
      <c r="D7" s="20"/>
      <c r="E7" s="20"/>
      <c r="F7" s="20"/>
      <c r="G7" s="20"/>
      <c r="H7" s="20"/>
      <c r="I7" s="20"/>
      <c r="J7" s="20"/>
      <c r="K7" s="20"/>
      <c r="L7" s="20"/>
      <c r="M7" s="20"/>
      <c r="N7" s="20"/>
      <c r="O7" s="20"/>
      <c r="P7" s="20"/>
      <c r="Q7" s="20"/>
      <c r="R7" s="20"/>
      <c r="S7" s="20"/>
      <c r="T7" s="20"/>
      <c r="U7" s="20"/>
      <c r="V7" s="20"/>
      <c r="W7" s="20"/>
      <c r="X7" s="20"/>
      <c r="Y7" s="20"/>
      <c r="Z7" s="20"/>
      <c r="AA7" s="20"/>
      <c r="AB7" s="20"/>
      <c r="AC7" s="20"/>
      <c r="AD7" s="21"/>
    </row>
    <row r="8" ht="16.5" customHeight="1">
      <c r="B8" s="56" t="s">
        <v>785</v>
      </c>
      <c r="C8" s="62">
        <f>ROUND(2*10*20/7,0)</f>
        <v>57</v>
      </c>
    </row>
    <row r="9" ht="16.5" customHeight="1">
      <c r="B9" s="56" t="s">
        <v>788</v>
      </c>
      <c r="C9" s="62">
        <f>SUM(E15:E28)</f>
        <v>39</v>
      </c>
    </row>
    <row r="10" ht="16.5" customHeight="1">
      <c r="B10" s="56" t="s">
        <v>789</v>
      </c>
      <c r="C10" s="62">
        <f>COUNTIF(G15:G28,C4)</f>
        <v>14</v>
      </c>
    </row>
    <row r="11" ht="16.5" customHeight="1">
      <c r="B11" s="56" t="s">
        <v>790</v>
      </c>
      <c r="C11" s="63">
        <v>46299.0</v>
      </c>
    </row>
    <row r="13" ht="18.0" customHeight="1">
      <c r="A13" s="14" t="s">
        <v>792</v>
      </c>
      <c r="B13" s="15"/>
      <c r="C13" s="15"/>
      <c r="D13" s="15"/>
      <c r="E13" s="15"/>
      <c r="F13" s="15"/>
      <c r="G13" s="15"/>
      <c r="H13" s="15"/>
      <c r="I13" s="17"/>
      <c r="J13" s="14" t="s">
        <v>793</v>
      </c>
      <c r="K13" s="15"/>
      <c r="L13" s="15"/>
      <c r="M13" s="15"/>
      <c r="N13" s="15"/>
      <c r="O13" s="15"/>
      <c r="P13" s="15"/>
      <c r="Q13" s="15"/>
      <c r="R13" s="15"/>
      <c r="S13" s="15"/>
      <c r="T13" s="15"/>
      <c r="U13" s="15"/>
      <c r="V13" s="15"/>
      <c r="W13" s="15"/>
      <c r="X13" s="15"/>
      <c r="Y13" s="15"/>
      <c r="Z13" s="15"/>
      <c r="AA13" s="15"/>
      <c r="AB13" s="15"/>
      <c r="AC13" s="17"/>
      <c r="AD13" s="65" t="s">
        <v>794</v>
      </c>
    </row>
    <row r="14" ht="39.75" customHeight="1">
      <c r="A14" s="18" t="s">
        <v>619</v>
      </c>
      <c r="B14" s="18" t="s">
        <v>742</v>
      </c>
      <c r="C14" s="18" t="s">
        <v>795</v>
      </c>
      <c r="D14" s="18" t="s">
        <v>97</v>
      </c>
      <c r="E14" s="18" t="s">
        <v>796</v>
      </c>
      <c r="F14" s="18" t="s">
        <v>797</v>
      </c>
      <c r="G14" s="18" t="s">
        <v>559</v>
      </c>
      <c r="H14" s="18" t="s">
        <v>339</v>
      </c>
      <c r="I14" s="18" t="s">
        <v>713</v>
      </c>
      <c r="J14" s="66">
        <f>IF($C$4="","",$C$4+0)</f>
        <v>46289</v>
      </c>
      <c r="K14" s="66">
        <f>IF($C$4="","",$C$4+1)</f>
        <v>46290</v>
      </c>
      <c r="L14" s="66">
        <f>IF($C$4="","",$C$4+2)</f>
        <v>46291</v>
      </c>
      <c r="M14" s="66">
        <f>IF($C$4="","",$C$4+3)</f>
        <v>46292</v>
      </c>
      <c r="N14" s="66">
        <f>IF($C$4="","",$C$4+4)</f>
        <v>46293</v>
      </c>
      <c r="O14" s="66">
        <f>IF($C$4="","",$C$4+5)</f>
        <v>46294</v>
      </c>
      <c r="P14" s="66">
        <f>IF($C$4="","",$C$4+6)</f>
        <v>46295</v>
      </c>
      <c r="Q14" s="66">
        <f>IF($C$4="","",$C$4+7)</f>
        <v>46296</v>
      </c>
      <c r="R14" s="66">
        <f>IF($C$4="","",$C$4+8)</f>
        <v>46297</v>
      </c>
      <c r="S14" s="66">
        <f>IF($C$4="","",$C$4+9)</f>
        <v>46298</v>
      </c>
      <c r="T14" s="66">
        <f>IF($C$4="","",$C$4+10)</f>
        <v>46299</v>
      </c>
      <c r="U14" s="66">
        <f>IF($C$4="","",$C$4+11)</f>
        <v>46300</v>
      </c>
      <c r="V14" s="66">
        <f>IF($C$4="","",$C$4+12)</f>
        <v>46301</v>
      </c>
      <c r="W14" s="66">
        <f>IF($C$4="","",$C$4+13)</f>
        <v>46302</v>
      </c>
      <c r="X14" s="66">
        <f>IF($C$4="","",$C$4+14)</f>
        <v>46303</v>
      </c>
      <c r="Y14" s="66">
        <f>IF($C$4="","",$C$4+15)</f>
        <v>46304</v>
      </c>
      <c r="Z14" s="66">
        <f>IF($C$4="","",$C$4+16)</f>
        <v>46305</v>
      </c>
      <c r="AA14" s="66">
        <f>IF($C$4="","",$C$4+17)</f>
        <v>46306</v>
      </c>
      <c r="AB14" s="66">
        <f>IF($C$4="","",$C$4+18)</f>
        <v>46307</v>
      </c>
      <c r="AC14" s="66">
        <f>IF($C$4="","",$C$4+19)</f>
        <v>46308</v>
      </c>
      <c r="AD14" s="18" t="s">
        <v>799</v>
      </c>
    </row>
    <row r="15" ht="17.25" customHeight="1">
      <c r="A15" s="16">
        <v>1.0</v>
      </c>
      <c r="B15" s="6" t="s">
        <v>1077</v>
      </c>
      <c r="C15" s="6" t="s">
        <v>342</v>
      </c>
      <c r="D15" s="6" t="s">
        <v>30</v>
      </c>
      <c r="E15" s="8">
        <v>2.0</v>
      </c>
      <c r="F15" s="67"/>
      <c r="G15" s="68">
        <v>46289.0</v>
      </c>
      <c r="H15" s="16" t="s">
        <v>375</v>
      </c>
      <c r="I15" s="68">
        <v>46294.0</v>
      </c>
      <c r="J15" s="16" t="str">
        <f t="shared" ref="J15:AC15" si="1">IF($I15=J$14,"✔","")</f>
        <v/>
      </c>
      <c r="K15" s="16" t="str">
        <f t="shared" si="1"/>
        <v/>
      </c>
      <c r="L15" s="16" t="str">
        <f t="shared" si="1"/>
        <v/>
      </c>
      <c r="M15" s="16" t="str">
        <f t="shared" si="1"/>
        <v/>
      </c>
      <c r="N15" s="16" t="str">
        <f t="shared" si="1"/>
        <v/>
      </c>
      <c r="O15" s="16" t="str">
        <f t="shared" si="1"/>
        <v>✔</v>
      </c>
      <c r="P15" s="16" t="str">
        <f t="shared" si="1"/>
        <v/>
      </c>
      <c r="Q15" s="16" t="str">
        <f t="shared" si="1"/>
        <v/>
      </c>
      <c r="R15" s="16" t="str">
        <f t="shared" si="1"/>
        <v/>
      </c>
      <c r="S15" s="16" t="str">
        <f t="shared" si="1"/>
        <v/>
      </c>
      <c r="T15" s="16" t="str">
        <f t="shared" si="1"/>
        <v/>
      </c>
      <c r="U15" s="16" t="str">
        <f t="shared" si="1"/>
        <v/>
      </c>
      <c r="V15" s="16" t="str">
        <f t="shared" si="1"/>
        <v/>
      </c>
      <c r="W15" s="16" t="str">
        <f t="shared" si="1"/>
        <v/>
      </c>
      <c r="X15" s="16" t="str">
        <f t="shared" si="1"/>
        <v/>
      </c>
      <c r="Y15" s="16" t="str">
        <f t="shared" si="1"/>
        <v/>
      </c>
      <c r="Z15" s="16" t="str">
        <f t="shared" si="1"/>
        <v/>
      </c>
      <c r="AA15" s="16" t="str">
        <f t="shared" si="1"/>
        <v/>
      </c>
      <c r="AB15" s="16" t="str">
        <f t="shared" si="1"/>
        <v/>
      </c>
      <c r="AC15" s="16" t="str">
        <f t="shared" si="1"/>
        <v/>
      </c>
      <c r="AD15" s="69" t="s">
        <v>802</v>
      </c>
    </row>
    <row r="16" ht="30.75" customHeight="1">
      <c r="A16" s="24">
        <v>2.0</v>
      </c>
      <c r="B16" s="11" t="s">
        <v>1079</v>
      </c>
      <c r="C16" s="11" t="s">
        <v>1080</v>
      </c>
      <c r="D16" s="11" t="s">
        <v>30</v>
      </c>
      <c r="E16" s="13">
        <v>3.0</v>
      </c>
      <c r="F16" s="67"/>
      <c r="G16" s="70">
        <v>46289.0</v>
      </c>
      <c r="H16" s="24" t="s">
        <v>375</v>
      </c>
      <c r="I16" s="70">
        <v>46294.0</v>
      </c>
      <c r="J16" s="24" t="str">
        <f t="shared" ref="J16:AC16" si="2">IF($I16=J$14,"✔","")</f>
        <v/>
      </c>
      <c r="K16" s="24" t="str">
        <f t="shared" si="2"/>
        <v/>
      </c>
      <c r="L16" s="24" t="str">
        <f t="shared" si="2"/>
        <v/>
      </c>
      <c r="M16" s="24" t="str">
        <f t="shared" si="2"/>
        <v/>
      </c>
      <c r="N16" s="24" t="str">
        <f t="shared" si="2"/>
        <v/>
      </c>
      <c r="O16" s="24" t="str">
        <f t="shared" si="2"/>
        <v>✔</v>
      </c>
      <c r="P16" s="24" t="str">
        <f t="shared" si="2"/>
        <v/>
      </c>
      <c r="Q16" s="24" t="str">
        <f t="shared" si="2"/>
        <v/>
      </c>
      <c r="R16" s="24" t="str">
        <f t="shared" si="2"/>
        <v/>
      </c>
      <c r="S16" s="24" t="str">
        <f t="shared" si="2"/>
        <v/>
      </c>
      <c r="T16" s="24" t="str">
        <f t="shared" si="2"/>
        <v/>
      </c>
      <c r="U16" s="24" t="str">
        <f t="shared" si="2"/>
        <v/>
      </c>
      <c r="V16" s="24" t="str">
        <f t="shared" si="2"/>
        <v/>
      </c>
      <c r="W16" s="24" t="str">
        <f t="shared" si="2"/>
        <v/>
      </c>
      <c r="X16" s="24" t="str">
        <f t="shared" si="2"/>
        <v/>
      </c>
      <c r="Y16" s="24" t="str">
        <f t="shared" si="2"/>
        <v/>
      </c>
      <c r="Z16" s="24" t="str">
        <f t="shared" si="2"/>
        <v/>
      </c>
      <c r="AA16" s="24" t="str">
        <f t="shared" si="2"/>
        <v/>
      </c>
      <c r="AB16" s="24" t="str">
        <f t="shared" si="2"/>
        <v/>
      </c>
      <c r="AC16" s="24" t="str">
        <f t="shared" si="2"/>
        <v/>
      </c>
      <c r="AD16" s="69" t="s">
        <v>802</v>
      </c>
    </row>
    <row r="17" ht="17.25" customHeight="1">
      <c r="A17" s="16">
        <v>3.0</v>
      </c>
      <c r="B17" s="6" t="s">
        <v>1085</v>
      </c>
      <c r="C17" s="6" t="s">
        <v>401</v>
      </c>
      <c r="D17" s="6" t="s">
        <v>30</v>
      </c>
      <c r="E17" s="8">
        <v>2.0</v>
      </c>
      <c r="F17" s="67"/>
      <c r="G17" s="68">
        <v>46289.0</v>
      </c>
      <c r="H17" s="16" t="s">
        <v>375</v>
      </c>
      <c r="I17" s="68">
        <v>46294.0</v>
      </c>
      <c r="J17" s="16" t="str">
        <f t="shared" ref="J17:AC17" si="3">IF($I17=J$14,"✔","")</f>
        <v/>
      </c>
      <c r="K17" s="16" t="str">
        <f t="shared" si="3"/>
        <v/>
      </c>
      <c r="L17" s="16" t="str">
        <f t="shared" si="3"/>
        <v/>
      </c>
      <c r="M17" s="16" t="str">
        <f t="shared" si="3"/>
        <v/>
      </c>
      <c r="N17" s="16" t="str">
        <f t="shared" si="3"/>
        <v/>
      </c>
      <c r="O17" s="16" t="str">
        <f t="shared" si="3"/>
        <v>✔</v>
      </c>
      <c r="P17" s="16" t="str">
        <f t="shared" si="3"/>
        <v/>
      </c>
      <c r="Q17" s="16" t="str">
        <f t="shared" si="3"/>
        <v/>
      </c>
      <c r="R17" s="16" t="str">
        <f t="shared" si="3"/>
        <v/>
      </c>
      <c r="S17" s="16" t="str">
        <f t="shared" si="3"/>
        <v/>
      </c>
      <c r="T17" s="16" t="str">
        <f t="shared" si="3"/>
        <v/>
      </c>
      <c r="U17" s="16" t="str">
        <f t="shared" si="3"/>
        <v/>
      </c>
      <c r="V17" s="16" t="str">
        <f t="shared" si="3"/>
        <v/>
      </c>
      <c r="W17" s="16" t="str">
        <f t="shared" si="3"/>
        <v/>
      </c>
      <c r="X17" s="16" t="str">
        <f t="shared" si="3"/>
        <v/>
      </c>
      <c r="Y17" s="16" t="str">
        <f t="shared" si="3"/>
        <v/>
      </c>
      <c r="Z17" s="16" t="str">
        <f t="shared" si="3"/>
        <v/>
      </c>
      <c r="AA17" s="16" t="str">
        <f t="shared" si="3"/>
        <v/>
      </c>
      <c r="AB17" s="16" t="str">
        <f t="shared" si="3"/>
        <v/>
      </c>
      <c r="AC17" s="16" t="str">
        <f t="shared" si="3"/>
        <v/>
      </c>
      <c r="AD17" s="69" t="s">
        <v>802</v>
      </c>
    </row>
    <row r="18" ht="30.75" customHeight="1">
      <c r="A18" s="24">
        <v>4.0</v>
      </c>
      <c r="B18" s="11" t="s">
        <v>1087</v>
      </c>
      <c r="C18" s="11" t="s">
        <v>441</v>
      </c>
      <c r="D18" s="11" t="s">
        <v>30</v>
      </c>
      <c r="E18" s="13">
        <v>2.0</v>
      </c>
      <c r="F18" s="67"/>
      <c r="G18" s="70">
        <v>46289.0</v>
      </c>
      <c r="H18" s="24" t="s">
        <v>375</v>
      </c>
      <c r="I18" s="70">
        <v>46294.0</v>
      </c>
      <c r="J18" s="24" t="str">
        <f t="shared" ref="J18:AC18" si="4">IF($I18=J$14,"✔","")</f>
        <v/>
      </c>
      <c r="K18" s="24" t="str">
        <f t="shared" si="4"/>
        <v/>
      </c>
      <c r="L18" s="24" t="str">
        <f t="shared" si="4"/>
        <v/>
      </c>
      <c r="M18" s="24" t="str">
        <f t="shared" si="4"/>
        <v/>
      </c>
      <c r="N18" s="24" t="str">
        <f t="shared" si="4"/>
        <v/>
      </c>
      <c r="O18" s="24" t="str">
        <f t="shared" si="4"/>
        <v>✔</v>
      </c>
      <c r="P18" s="24" t="str">
        <f t="shared" si="4"/>
        <v/>
      </c>
      <c r="Q18" s="24" t="str">
        <f t="shared" si="4"/>
        <v/>
      </c>
      <c r="R18" s="24" t="str">
        <f t="shared" si="4"/>
        <v/>
      </c>
      <c r="S18" s="24" t="str">
        <f t="shared" si="4"/>
        <v/>
      </c>
      <c r="T18" s="24" t="str">
        <f t="shared" si="4"/>
        <v/>
      </c>
      <c r="U18" s="24" t="str">
        <f t="shared" si="4"/>
        <v/>
      </c>
      <c r="V18" s="24" t="str">
        <f t="shared" si="4"/>
        <v/>
      </c>
      <c r="W18" s="24" t="str">
        <f t="shared" si="4"/>
        <v/>
      </c>
      <c r="X18" s="24" t="str">
        <f t="shared" si="4"/>
        <v/>
      </c>
      <c r="Y18" s="24" t="str">
        <f t="shared" si="4"/>
        <v/>
      </c>
      <c r="Z18" s="24" t="str">
        <f t="shared" si="4"/>
        <v/>
      </c>
      <c r="AA18" s="24" t="str">
        <f t="shared" si="4"/>
        <v/>
      </c>
      <c r="AB18" s="24" t="str">
        <f t="shared" si="4"/>
        <v/>
      </c>
      <c r="AC18" s="24" t="str">
        <f t="shared" si="4"/>
        <v/>
      </c>
      <c r="AD18" s="69" t="s">
        <v>802</v>
      </c>
    </row>
    <row r="19" ht="30.75" customHeight="1">
      <c r="A19" s="16">
        <v>5.0</v>
      </c>
      <c r="B19" s="6" t="s">
        <v>1019</v>
      </c>
      <c r="C19" s="6" t="s">
        <v>561</v>
      </c>
      <c r="D19" s="6" t="s">
        <v>30</v>
      </c>
      <c r="E19" s="8">
        <v>3.0</v>
      </c>
      <c r="F19" s="67"/>
      <c r="G19" s="68">
        <v>46289.0</v>
      </c>
      <c r="H19" s="16" t="s">
        <v>375</v>
      </c>
      <c r="I19" s="68">
        <v>46298.0</v>
      </c>
      <c r="J19" s="16" t="str">
        <f t="shared" ref="J19:AC19" si="5">IF($I19=J$14,"✔","")</f>
        <v/>
      </c>
      <c r="K19" s="16" t="str">
        <f t="shared" si="5"/>
        <v/>
      </c>
      <c r="L19" s="16" t="str">
        <f t="shared" si="5"/>
        <v/>
      </c>
      <c r="M19" s="16" t="str">
        <f t="shared" si="5"/>
        <v/>
      </c>
      <c r="N19" s="16" t="str">
        <f t="shared" si="5"/>
        <v/>
      </c>
      <c r="O19" s="16" t="str">
        <f t="shared" si="5"/>
        <v/>
      </c>
      <c r="P19" s="16" t="str">
        <f t="shared" si="5"/>
        <v/>
      </c>
      <c r="Q19" s="16" t="str">
        <f t="shared" si="5"/>
        <v/>
      </c>
      <c r="R19" s="16" t="str">
        <f t="shared" si="5"/>
        <v/>
      </c>
      <c r="S19" s="16" t="str">
        <f t="shared" si="5"/>
        <v>✔</v>
      </c>
      <c r="T19" s="16" t="str">
        <f t="shared" si="5"/>
        <v/>
      </c>
      <c r="U19" s="16" t="str">
        <f t="shared" si="5"/>
        <v/>
      </c>
      <c r="V19" s="16" t="str">
        <f t="shared" si="5"/>
        <v/>
      </c>
      <c r="W19" s="16" t="str">
        <f t="shared" si="5"/>
        <v/>
      </c>
      <c r="X19" s="16" t="str">
        <f t="shared" si="5"/>
        <v/>
      </c>
      <c r="Y19" s="16" t="str">
        <f t="shared" si="5"/>
        <v/>
      </c>
      <c r="Z19" s="16" t="str">
        <f t="shared" si="5"/>
        <v/>
      </c>
      <c r="AA19" s="16" t="str">
        <f t="shared" si="5"/>
        <v/>
      </c>
      <c r="AB19" s="16" t="str">
        <f t="shared" si="5"/>
        <v/>
      </c>
      <c r="AC19" s="16" t="str">
        <f t="shared" si="5"/>
        <v/>
      </c>
      <c r="AD19" s="16" t="s">
        <v>802</v>
      </c>
    </row>
    <row r="20" ht="30.75" customHeight="1">
      <c r="A20" s="24">
        <v>6.0</v>
      </c>
      <c r="B20" s="11" t="s">
        <v>1095</v>
      </c>
      <c r="C20" s="11" t="s">
        <v>441</v>
      </c>
      <c r="D20" s="11" t="s">
        <v>30</v>
      </c>
      <c r="E20" s="13">
        <v>2.0</v>
      </c>
      <c r="F20" s="67"/>
      <c r="G20" s="70">
        <v>46289.0</v>
      </c>
      <c r="H20" s="24" t="s">
        <v>375</v>
      </c>
      <c r="I20" s="70">
        <v>46295.0</v>
      </c>
      <c r="J20" s="24" t="str">
        <f t="shared" ref="J20:AC20" si="6">IF($I20=J$14,"✔","")</f>
        <v/>
      </c>
      <c r="K20" s="24" t="str">
        <f t="shared" si="6"/>
        <v/>
      </c>
      <c r="L20" s="24" t="str">
        <f t="shared" si="6"/>
        <v/>
      </c>
      <c r="M20" s="24" t="str">
        <f t="shared" si="6"/>
        <v/>
      </c>
      <c r="N20" s="24" t="str">
        <f t="shared" si="6"/>
        <v/>
      </c>
      <c r="O20" s="24" t="str">
        <f t="shared" si="6"/>
        <v/>
      </c>
      <c r="P20" s="24" t="str">
        <f t="shared" si="6"/>
        <v>✔</v>
      </c>
      <c r="Q20" s="24" t="str">
        <f t="shared" si="6"/>
        <v/>
      </c>
      <c r="R20" s="24" t="str">
        <f t="shared" si="6"/>
        <v/>
      </c>
      <c r="S20" s="24" t="str">
        <f t="shared" si="6"/>
        <v/>
      </c>
      <c r="T20" s="24" t="str">
        <f t="shared" si="6"/>
        <v/>
      </c>
      <c r="U20" s="24" t="str">
        <f t="shared" si="6"/>
        <v/>
      </c>
      <c r="V20" s="24" t="str">
        <f t="shared" si="6"/>
        <v/>
      </c>
      <c r="W20" s="24" t="str">
        <f t="shared" si="6"/>
        <v/>
      </c>
      <c r="X20" s="24" t="str">
        <f t="shared" si="6"/>
        <v/>
      </c>
      <c r="Y20" s="24" t="str">
        <f t="shared" si="6"/>
        <v/>
      </c>
      <c r="Z20" s="24" t="str">
        <f t="shared" si="6"/>
        <v/>
      </c>
      <c r="AA20" s="24" t="str">
        <f t="shared" si="6"/>
        <v/>
      </c>
      <c r="AB20" s="24" t="str">
        <f t="shared" si="6"/>
        <v/>
      </c>
      <c r="AC20" s="24" t="str">
        <f t="shared" si="6"/>
        <v/>
      </c>
      <c r="AD20" s="69" t="s">
        <v>802</v>
      </c>
    </row>
    <row r="21" ht="30.75" customHeight="1">
      <c r="A21" s="16">
        <v>7.0</v>
      </c>
      <c r="B21" s="6" t="s">
        <v>1100</v>
      </c>
      <c r="C21" s="6" t="s">
        <v>429</v>
      </c>
      <c r="D21" s="6" t="s">
        <v>30</v>
      </c>
      <c r="E21" s="8">
        <v>1.0</v>
      </c>
      <c r="F21" s="67"/>
      <c r="G21" s="68">
        <v>46289.0</v>
      </c>
      <c r="H21" s="16" t="s">
        <v>375</v>
      </c>
      <c r="I21" s="68">
        <v>46298.0</v>
      </c>
      <c r="J21" s="16" t="str">
        <f t="shared" ref="J21:AC21" si="7">IF($I21=J$14,"✔","")</f>
        <v/>
      </c>
      <c r="K21" s="16" t="str">
        <f t="shared" si="7"/>
        <v/>
      </c>
      <c r="L21" s="16" t="str">
        <f t="shared" si="7"/>
        <v/>
      </c>
      <c r="M21" s="16" t="str">
        <f t="shared" si="7"/>
        <v/>
      </c>
      <c r="N21" s="16" t="str">
        <f t="shared" si="7"/>
        <v/>
      </c>
      <c r="O21" s="16" t="str">
        <f t="shared" si="7"/>
        <v/>
      </c>
      <c r="P21" s="16" t="str">
        <f t="shared" si="7"/>
        <v/>
      </c>
      <c r="Q21" s="16" t="str">
        <f t="shared" si="7"/>
        <v/>
      </c>
      <c r="R21" s="16" t="str">
        <f t="shared" si="7"/>
        <v/>
      </c>
      <c r="S21" s="16" t="str">
        <f t="shared" si="7"/>
        <v>✔</v>
      </c>
      <c r="T21" s="16" t="str">
        <f t="shared" si="7"/>
        <v/>
      </c>
      <c r="U21" s="16" t="str">
        <f t="shared" si="7"/>
        <v/>
      </c>
      <c r="V21" s="16" t="str">
        <f t="shared" si="7"/>
        <v/>
      </c>
      <c r="W21" s="16" t="str">
        <f t="shared" si="7"/>
        <v/>
      </c>
      <c r="X21" s="16" t="str">
        <f t="shared" si="7"/>
        <v/>
      </c>
      <c r="Y21" s="16" t="str">
        <f t="shared" si="7"/>
        <v/>
      </c>
      <c r="Z21" s="16" t="str">
        <f t="shared" si="7"/>
        <v/>
      </c>
      <c r="AA21" s="16" t="str">
        <f t="shared" si="7"/>
        <v/>
      </c>
      <c r="AB21" s="16" t="str">
        <f t="shared" si="7"/>
        <v/>
      </c>
      <c r="AC21" s="16" t="str">
        <f t="shared" si="7"/>
        <v/>
      </c>
      <c r="AD21" s="69" t="s">
        <v>802</v>
      </c>
    </row>
    <row r="22" ht="30.75" customHeight="1">
      <c r="A22" s="24">
        <v>8.0</v>
      </c>
      <c r="B22" s="11" t="s">
        <v>1106</v>
      </c>
      <c r="C22" s="11" t="s">
        <v>1109</v>
      </c>
      <c r="D22" s="11" t="s">
        <v>30</v>
      </c>
      <c r="E22" s="13">
        <v>3.0</v>
      </c>
      <c r="F22" s="67"/>
      <c r="G22" s="70">
        <v>46289.0</v>
      </c>
      <c r="H22" s="73" t="s">
        <v>375</v>
      </c>
      <c r="I22" s="89">
        <v>46297.0</v>
      </c>
      <c r="J22" s="24" t="str">
        <f t="shared" ref="J22:AC22" si="8">IF($I22=J$14,"✔","")</f>
        <v/>
      </c>
      <c r="K22" s="24" t="str">
        <f t="shared" si="8"/>
        <v/>
      </c>
      <c r="L22" s="24" t="str">
        <f t="shared" si="8"/>
        <v/>
      </c>
      <c r="M22" s="24" t="str">
        <f t="shared" si="8"/>
        <v/>
      </c>
      <c r="N22" s="24" t="str">
        <f t="shared" si="8"/>
        <v/>
      </c>
      <c r="O22" s="24" t="str">
        <f t="shared" si="8"/>
        <v/>
      </c>
      <c r="P22" s="24" t="str">
        <f t="shared" si="8"/>
        <v/>
      </c>
      <c r="Q22" s="24" t="str">
        <f t="shared" si="8"/>
        <v/>
      </c>
      <c r="R22" s="24" t="str">
        <f t="shared" si="8"/>
        <v>✔</v>
      </c>
      <c r="S22" s="24" t="str">
        <f t="shared" si="8"/>
        <v/>
      </c>
      <c r="T22" s="24" t="str">
        <f t="shared" si="8"/>
        <v/>
      </c>
      <c r="U22" s="24" t="str">
        <f t="shared" si="8"/>
        <v/>
      </c>
      <c r="V22" s="24" t="str">
        <f t="shared" si="8"/>
        <v/>
      </c>
      <c r="W22" s="24" t="str">
        <f t="shared" si="8"/>
        <v/>
      </c>
      <c r="X22" s="24" t="str">
        <f t="shared" si="8"/>
        <v/>
      </c>
      <c r="Y22" s="24" t="str">
        <f t="shared" si="8"/>
        <v/>
      </c>
      <c r="Z22" s="24" t="str">
        <f t="shared" si="8"/>
        <v/>
      </c>
      <c r="AA22" s="24" t="str">
        <f t="shared" si="8"/>
        <v/>
      </c>
      <c r="AB22" s="24" t="str">
        <f t="shared" si="8"/>
        <v/>
      </c>
      <c r="AC22" s="24" t="str">
        <f t="shared" si="8"/>
        <v/>
      </c>
      <c r="AD22" s="69" t="s">
        <v>802</v>
      </c>
    </row>
    <row r="23" ht="30.75" customHeight="1">
      <c r="A23" s="16">
        <v>9.0</v>
      </c>
      <c r="B23" s="6" t="s">
        <v>1114</v>
      </c>
      <c r="C23" s="6" t="s">
        <v>1115</v>
      </c>
      <c r="D23" s="6" t="s">
        <v>30</v>
      </c>
      <c r="E23" s="8">
        <v>4.0</v>
      </c>
      <c r="F23" s="67"/>
      <c r="G23" s="68">
        <v>46289.0</v>
      </c>
      <c r="H23" s="88" t="s">
        <v>375</v>
      </c>
      <c r="I23" s="89">
        <v>46297.0</v>
      </c>
      <c r="J23" s="16" t="str">
        <f t="shared" ref="J23:AC23" si="9">IF($I23=J$14,"✔","")</f>
        <v/>
      </c>
      <c r="K23" s="16" t="str">
        <f t="shared" si="9"/>
        <v/>
      </c>
      <c r="L23" s="16" t="str">
        <f t="shared" si="9"/>
        <v/>
      </c>
      <c r="M23" s="16" t="str">
        <f t="shared" si="9"/>
        <v/>
      </c>
      <c r="N23" s="16" t="str">
        <f t="shared" si="9"/>
        <v/>
      </c>
      <c r="O23" s="16" t="str">
        <f t="shared" si="9"/>
        <v/>
      </c>
      <c r="P23" s="16" t="str">
        <f t="shared" si="9"/>
        <v/>
      </c>
      <c r="Q23" s="16" t="str">
        <f t="shared" si="9"/>
        <v/>
      </c>
      <c r="R23" s="16" t="str">
        <f t="shared" si="9"/>
        <v>✔</v>
      </c>
      <c r="S23" s="16" t="str">
        <f t="shared" si="9"/>
        <v/>
      </c>
      <c r="T23" s="16" t="str">
        <f t="shared" si="9"/>
        <v/>
      </c>
      <c r="U23" s="16" t="str">
        <f t="shared" si="9"/>
        <v/>
      </c>
      <c r="V23" s="16" t="str">
        <f t="shared" si="9"/>
        <v/>
      </c>
      <c r="W23" s="16" t="str">
        <f t="shared" si="9"/>
        <v/>
      </c>
      <c r="X23" s="16" t="str">
        <f t="shared" si="9"/>
        <v/>
      </c>
      <c r="Y23" s="16" t="str">
        <f t="shared" si="9"/>
        <v/>
      </c>
      <c r="Z23" s="16" t="str">
        <f t="shared" si="9"/>
        <v/>
      </c>
      <c r="AA23" s="16" t="str">
        <f t="shared" si="9"/>
        <v/>
      </c>
      <c r="AB23" s="16" t="str">
        <f t="shared" si="9"/>
        <v/>
      </c>
      <c r="AC23" s="16" t="str">
        <f t="shared" si="9"/>
        <v/>
      </c>
      <c r="AD23" s="69" t="s">
        <v>802</v>
      </c>
    </row>
    <row r="24" ht="17.25" customHeight="1">
      <c r="A24" s="24">
        <v>10.0</v>
      </c>
      <c r="B24" s="11" t="s">
        <v>1119</v>
      </c>
      <c r="C24" s="11" t="s">
        <v>470</v>
      </c>
      <c r="D24" s="11" t="s">
        <v>30</v>
      </c>
      <c r="E24" s="13">
        <v>3.0</v>
      </c>
      <c r="F24" s="67"/>
      <c r="G24" s="70">
        <v>46289.0</v>
      </c>
      <c r="H24" s="73" t="s">
        <v>375</v>
      </c>
      <c r="I24" s="89">
        <v>46298.0</v>
      </c>
      <c r="J24" s="24" t="str">
        <f t="shared" ref="J24:AC24" si="10">IF($I24=J$14,"✔","")</f>
        <v/>
      </c>
      <c r="K24" s="24" t="str">
        <f t="shared" si="10"/>
        <v/>
      </c>
      <c r="L24" s="24" t="str">
        <f t="shared" si="10"/>
        <v/>
      </c>
      <c r="M24" s="24" t="str">
        <f t="shared" si="10"/>
        <v/>
      </c>
      <c r="N24" s="24" t="str">
        <f t="shared" si="10"/>
        <v/>
      </c>
      <c r="O24" s="24" t="str">
        <f t="shared" si="10"/>
        <v/>
      </c>
      <c r="P24" s="24" t="str">
        <f t="shared" si="10"/>
        <v/>
      </c>
      <c r="Q24" s="24" t="str">
        <f t="shared" si="10"/>
        <v/>
      </c>
      <c r="R24" s="24" t="str">
        <f t="shared" si="10"/>
        <v/>
      </c>
      <c r="S24" s="24" t="str">
        <f t="shared" si="10"/>
        <v>✔</v>
      </c>
      <c r="T24" s="24" t="str">
        <f t="shared" si="10"/>
        <v/>
      </c>
      <c r="U24" s="24" t="str">
        <f t="shared" si="10"/>
        <v/>
      </c>
      <c r="V24" s="24" t="str">
        <f t="shared" si="10"/>
        <v/>
      </c>
      <c r="W24" s="24" t="str">
        <f t="shared" si="10"/>
        <v/>
      </c>
      <c r="X24" s="24" t="str">
        <f t="shared" si="10"/>
        <v/>
      </c>
      <c r="Y24" s="24" t="str">
        <f t="shared" si="10"/>
        <v/>
      </c>
      <c r="Z24" s="24" t="str">
        <f t="shared" si="10"/>
        <v/>
      </c>
      <c r="AA24" s="24" t="str">
        <f t="shared" si="10"/>
        <v/>
      </c>
      <c r="AB24" s="24" t="str">
        <f t="shared" si="10"/>
        <v/>
      </c>
      <c r="AC24" s="24" t="str">
        <f t="shared" si="10"/>
        <v/>
      </c>
      <c r="AD24" s="69" t="s">
        <v>802</v>
      </c>
    </row>
    <row r="25" ht="17.25" customHeight="1">
      <c r="A25" s="16">
        <v>11.0</v>
      </c>
      <c r="B25" s="6" t="s">
        <v>1122</v>
      </c>
      <c r="C25" s="6" t="s">
        <v>499</v>
      </c>
      <c r="D25" s="6" t="s">
        <v>39</v>
      </c>
      <c r="E25" s="8">
        <v>5.0</v>
      </c>
      <c r="F25" s="67"/>
      <c r="G25" s="68">
        <v>46289.0</v>
      </c>
      <c r="H25" s="88" t="s">
        <v>375</v>
      </c>
      <c r="I25" s="68"/>
      <c r="J25" s="16" t="str">
        <f t="shared" ref="J25:AC25" si="11">IF($I25=J$14,"✔","")</f>
        <v/>
      </c>
      <c r="K25" s="16" t="str">
        <f t="shared" si="11"/>
        <v/>
      </c>
      <c r="L25" s="16" t="str">
        <f t="shared" si="11"/>
        <v/>
      </c>
      <c r="M25" s="16" t="str">
        <f t="shared" si="11"/>
        <v/>
      </c>
      <c r="N25" s="16" t="str">
        <f t="shared" si="11"/>
        <v/>
      </c>
      <c r="O25" s="16" t="str">
        <f t="shared" si="11"/>
        <v/>
      </c>
      <c r="P25" s="16" t="str">
        <f t="shared" si="11"/>
        <v/>
      </c>
      <c r="Q25" s="16" t="str">
        <f t="shared" si="11"/>
        <v/>
      </c>
      <c r="R25" s="16" t="str">
        <f t="shared" si="11"/>
        <v/>
      </c>
      <c r="S25" s="16" t="str">
        <f t="shared" si="11"/>
        <v/>
      </c>
      <c r="T25" s="16" t="str">
        <f t="shared" si="11"/>
        <v/>
      </c>
      <c r="U25" s="16" t="str">
        <f t="shared" si="11"/>
        <v/>
      </c>
      <c r="V25" s="16" t="str">
        <f t="shared" si="11"/>
        <v/>
      </c>
      <c r="W25" s="16" t="str">
        <f t="shared" si="11"/>
        <v/>
      </c>
      <c r="X25" s="16" t="str">
        <f t="shared" si="11"/>
        <v/>
      </c>
      <c r="Y25" s="16" t="str">
        <f t="shared" si="11"/>
        <v/>
      </c>
      <c r="Z25" s="16" t="str">
        <f t="shared" si="11"/>
        <v/>
      </c>
      <c r="AA25" s="16" t="str">
        <f t="shared" si="11"/>
        <v/>
      </c>
      <c r="AB25" s="16" t="str">
        <f t="shared" si="11"/>
        <v/>
      </c>
      <c r="AC25" s="16" t="str">
        <f t="shared" si="11"/>
        <v/>
      </c>
      <c r="AD25" s="67"/>
    </row>
    <row r="26" ht="30.75" customHeight="1">
      <c r="A26" s="24">
        <v>12.0</v>
      </c>
      <c r="B26" s="11" t="s">
        <v>1124</v>
      </c>
      <c r="C26" s="11" t="s">
        <v>541</v>
      </c>
      <c r="D26" s="11" t="s">
        <v>39</v>
      </c>
      <c r="E26" s="13">
        <v>6.0</v>
      </c>
      <c r="F26" s="67"/>
      <c r="G26" s="70">
        <v>46289.0</v>
      </c>
      <c r="H26" s="73" t="s">
        <v>418</v>
      </c>
      <c r="I26" s="70"/>
      <c r="J26" s="24" t="str">
        <f t="shared" ref="J26:AC26" si="12">IF($I26=J$14,"✔","")</f>
        <v/>
      </c>
      <c r="K26" s="24" t="str">
        <f t="shared" si="12"/>
        <v/>
      </c>
      <c r="L26" s="24" t="str">
        <f t="shared" si="12"/>
        <v/>
      </c>
      <c r="M26" s="24" t="str">
        <f t="shared" si="12"/>
        <v/>
      </c>
      <c r="N26" s="24" t="str">
        <f t="shared" si="12"/>
        <v/>
      </c>
      <c r="O26" s="24" t="str">
        <f t="shared" si="12"/>
        <v/>
      </c>
      <c r="P26" s="24" t="str">
        <f t="shared" si="12"/>
        <v/>
      </c>
      <c r="Q26" s="24" t="str">
        <f t="shared" si="12"/>
        <v/>
      </c>
      <c r="R26" s="24" t="str">
        <f t="shared" si="12"/>
        <v/>
      </c>
      <c r="S26" s="24" t="str">
        <f t="shared" si="12"/>
        <v/>
      </c>
      <c r="T26" s="24" t="str">
        <f t="shared" si="12"/>
        <v/>
      </c>
      <c r="U26" s="24" t="str">
        <f t="shared" si="12"/>
        <v/>
      </c>
      <c r="V26" s="24" t="str">
        <f t="shared" si="12"/>
        <v/>
      </c>
      <c r="W26" s="24" t="str">
        <f t="shared" si="12"/>
        <v/>
      </c>
      <c r="X26" s="24" t="str">
        <f t="shared" si="12"/>
        <v/>
      </c>
      <c r="Y26" s="24" t="str">
        <f t="shared" si="12"/>
        <v/>
      </c>
      <c r="Z26" s="24" t="str">
        <f t="shared" si="12"/>
        <v/>
      </c>
      <c r="AA26" s="24" t="str">
        <f t="shared" si="12"/>
        <v/>
      </c>
      <c r="AB26" s="24" t="str">
        <f t="shared" si="12"/>
        <v/>
      </c>
      <c r="AC26" s="24" t="str">
        <f t="shared" si="12"/>
        <v/>
      </c>
      <c r="AD26" s="67"/>
    </row>
    <row r="27" ht="17.25" customHeight="1">
      <c r="A27" s="16">
        <v>13.0</v>
      </c>
      <c r="B27" s="6" t="s">
        <v>1131</v>
      </c>
      <c r="C27" s="6" t="s">
        <v>1132</v>
      </c>
      <c r="D27" s="6" t="s">
        <v>30</v>
      </c>
      <c r="E27" s="8">
        <v>1.0</v>
      </c>
      <c r="F27" s="67"/>
      <c r="G27" s="68">
        <v>46289.0</v>
      </c>
      <c r="H27" s="16" t="s">
        <v>418</v>
      </c>
      <c r="I27" s="68"/>
      <c r="J27" s="16" t="str">
        <f t="shared" ref="J27:AC27" si="13">IF($I27=J$14,"✔","")</f>
        <v/>
      </c>
      <c r="K27" s="16" t="str">
        <f t="shared" si="13"/>
        <v/>
      </c>
      <c r="L27" s="16" t="str">
        <f t="shared" si="13"/>
        <v/>
      </c>
      <c r="M27" s="16" t="str">
        <f t="shared" si="13"/>
        <v/>
      </c>
      <c r="N27" s="16" t="str">
        <f t="shared" si="13"/>
        <v/>
      </c>
      <c r="O27" s="16" t="str">
        <f t="shared" si="13"/>
        <v/>
      </c>
      <c r="P27" s="16" t="str">
        <f t="shared" si="13"/>
        <v/>
      </c>
      <c r="Q27" s="16" t="str">
        <f t="shared" si="13"/>
        <v/>
      </c>
      <c r="R27" s="16" t="str">
        <f t="shared" si="13"/>
        <v/>
      </c>
      <c r="S27" s="16" t="str">
        <f t="shared" si="13"/>
        <v/>
      </c>
      <c r="T27" s="16" t="str">
        <f t="shared" si="13"/>
        <v/>
      </c>
      <c r="U27" s="16" t="str">
        <f t="shared" si="13"/>
        <v/>
      </c>
      <c r="V27" s="16" t="str">
        <f t="shared" si="13"/>
        <v/>
      </c>
      <c r="W27" s="16" t="str">
        <f t="shared" si="13"/>
        <v/>
      </c>
      <c r="X27" s="16" t="str">
        <f t="shared" si="13"/>
        <v/>
      </c>
      <c r="Y27" s="16" t="str">
        <f t="shared" si="13"/>
        <v/>
      </c>
      <c r="Z27" s="16" t="str">
        <f t="shared" si="13"/>
        <v/>
      </c>
      <c r="AA27" s="16" t="str">
        <f t="shared" si="13"/>
        <v/>
      </c>
      <c r="AB27" s="16" t="str">
        <f t="shared" si="13"/>
        <v/>
      </c>
      <c r="AC27" s="16" t="str">
        <f t="shared" si="13"/>
        <v/>
      </c>
      <c r="AD27" s="67"/>
    </row>
    <row r="28" ht="17.25" customHeight="1">
      <c r="A28" s="24">
        <v>14.0</v>
      </c>
      <c r="B28" s="11" t="s">
        <v>121</v>
      </c>
      <c r="C28" s="11" t="s">
        <v>1107</v>
      </c>
      <c r="D28" s="11" t="s">
        <v>30</v>
      </c>
      <c r="E28" s="13">
        <v>2.0</v>
      </c>
      <c r="F28" s="67"/>
      <c r="G28" s="70">
        <v>46289.0</v>
      </c>
      <c r="H28" s="73" t="s">
        <v>375</v>
      </c>
      <c r="I28" s="70"/>
      <c r="J28" s="24" t="str">
        <f t="shared" ref="J28:AC28" si="14">IF($I28=J$14,"✔","")</f>
        <v/>
      </c>
      <c r="K28" s="24" t="str">
        <f t="shared" si="14"/>
        <v/>
      </c>
      <c r="L28" s="24" t="str">
        <f t="shared" si="14"/>
        <v/>
      </c>
      <c r="M28" s="24" t="str">
        <f t="shared" si="14"/>
        <v/>
      </c>
      <c r="N28" s="24" t="str">
        <f t="shared" si="14"/>
        <v/>
      </c>
      <c r="O28" s="24" t="str">
        <f t="shared" si="14"/>
        <v/>
      </c>
      <c r="P28" s="24" t="str">
        <f t="shared" si="14"/>
        <v/>
      </c>
      <c r="Q28" s="24" t="str">
        <f t="shared" si="14"/>
        <v/>
      </c>
      <c r="R28" s="24" t="str">
        <f t="shared" si="14"/>
        <v/>
      </c>
      <c r="S28" s="24" t="str">
        <f t="shared" si="14"/>
        <v/>
      </c>
      <c r="T28" s="24" t="str">
        <f t="shared" si="14"/>
        <v/>
      </c>
      <c r="U28" s="24" t="str">
        <f t="shared" si="14"/>
        <v/>
      </c>
      <c r="V28" s="24" t="str">
        <f t="shared" si="14"/>
        <v/>
      </c>
      <c r="W28" s="24" t="str">
        <f t="shared" si="14"/>
        <v/>
      </c>
      <c r="X28" s="24" t="str">
        <f t="shared" si="14"/>
        <v/>
      </c>
      <c r="Y28" s="24" t="str">
        <f t="shared" si="14"/>
        <v/>
      </c>
      <c r="Z28" s="24" t="str">
        <f t="shared" si="14"/>
        <v/>
      </c>
      <c r="AA28" s="24" t="str">
        <f t="shared" si="14"/>
        <v/>
      </c>
      <c r="AB28" s="24" t="str">
        <f t="shared" si="14"/>
        <v/>
      </c>
      <c r="AC28" s="24" t="str">
        <f t="shared" si="14"/>
        <v/>
      </c>
      <c r="AD28" s="69" t="s">
        <v>802</v>
      </c>
    </row>
    <row r="29" ht="15.75" customHeight="1">
      <c r="A29" s="74"/>
      <c r="B29" s="74" t="s">
        <v>260</v>
      </c>
      <c r="C29" s="74"/>
      <c r="D29" s="74"/>
      <c r="E29" s="75">
        <f t="shared" ref="E29:F29" si="15">SUM(E15:E28)</f>
        <v>39</v>
      </c>
      <c r="F29" s="75">
        <f t="shared" si="15"/>
        <v>0</v>
      </c>
      <c r="G29" s="74"/>
      <c r="H29" s="75" t="str">
        <f>COUNTIF(H15:H28,"Hecho")&amp;" hechas"</f>
        <v>12 hechas</v>
      </c>
      <c r="I29" s="74"/>
      <c r="J29" s="74"/>
      <c r="K29" s="74"/>
      <c r="L29" s="74"/>
      <c r="M29" s="74"/>
      <c r="N29" s="74"/>
      <c r="O29" s="74"/>
      <c r="P29" s="74"/>
      <c r="Q29" s="74"/>
      <c r="R29" s="74"/>
      <c r="S29" s="74"/>
      <c r="T29" s="74"/>
      <c r="U29" s="74"/>
      <c r="V29" s="74"/>
      <c r="W29" s="74"/>
      <c r="X29" s="74"/>
      <c r="Y29" s="74"/>
      <c r="Z29" s="74"/>
      <c r="AA29" s="74"/>
      <c r="AB29" s="74"/>
      <c r="AC29" s="74"/>
      <c r="AD29" s="74"/>
    </row>
    <row r="30" ht="15.75" customHeight="1"/>
    <row r="31" ht="18.0" customHeight="1">
      <c r="A31" s="27" t="s">
        <v>830</v>
      </c>
    </row>
    <row r="32" ht="27.75" customHeight="1">
      <c r="A32" s="76" t="s">
        <v>834</v>
      </c>
      <c r="B32" s="76" t="s">
        <v>836</v>
      </c>
      <c r="C32" s="76" t="s">
        <v>837</v>
      </c>
      <c r="D32" s="76" t="s">
        <v>838</v>
      </c>
    </row>
    <row r="33" ht="15.75" customHeight="1">
      <c r="A33" s="78">
        <v>0.0</v>
      </c>
      <c r="B33" s="78" t="s">
        <v>840</v>
      </c>
      <c r="C33" s="78">
        <f t="shared" ref="C33:C53" si="16">IF($C$10=0,"",ROUND($C$10-$C$10*A33/20,1))</f>
        <v>14</v>
      </c>
      <c r="D33" s="78">
        <v>14.0</v>
      </c>
    </row>
    <row r="34" ht="15.75" customHeight="1">
      <c r="A34" s="78">
        <v>1.0</v>
      </c>
      <c r="B34" s="78" t="s">
        <v>862</v>
      </c>
      <c r="C34" s="78">
        <f t="shared" si="16"/>
        <v>13.3</v>
      </c>
      <c r="D34" s="78">
        <v>14.0</v>
      </c>
    </row>
    <row r="35" ht="15.75" customHeight="1">
      <c r="A35" s="78">
        <v>2.0</v>
      </c>
      <c r="B35" s="78" t="s">
        <v>869</v>
      </c>
      <c r="C35" s="78">
        <f t="shared" si="16"/>
        <v>12.6</v>
      </c>
      <c r="D35" s="78">
        <v>14.0</v>
      </c>
    </row>
    <row r="36" ht="15.75" customHeight="1">
      <c r="A36" s="78">
        <v>3.0</v>
      </c>
      <c r="B36" s="78" t="s">
        <v>873</v>
      </c>
      <c r="C36" s="78">
        <f t="shared" si="16"/>
        <v>11.9</v>
      </c>
      <c r="D36" s="78">
        <v>14.0</v>
      </c>
    </row>
    <row r="37" ht="15.75" customHeight="1">
      <c r="A37" s="78">
        <v>4.0</v>
      </c>
      <c r="B37" s="78" t="s">
        <v>875</v>
      </c>
      <c r="C37" s="78">
        <f t="shared" si="16"/>
        <v>11.2</v>
      </c>
      <c r="D37" s="78">
        <v>14.0</v>
      </c>
    </row>
    <row r="38" ht="15.75" customHeight="1">
      <c r="A38" s="78">
        <v>5.0</v>
      </c>
      <c r="B38" s="78" t="s">
        <v>876</v>
      </c>
      <c r="C38" s="78">
        <f t="shared" si="16"/>
        <v>10.5</v>
      </c>
      <c r="D38" s="78">
        <v>14.0</v>
      </c>
    </row>
    <row r="39" ht="15.75" customHeight="1">
      <c r="A39" s="78">
        <v>6.0</v>
      </c>
      <c r="B39" s="78" t="s">
        <v>877</v>
      </c>
      <c r="C39" s="78">
        <f t="shared" si="16"/>
        <v>9.8</v>
      </c>
      <c r="D39" s="78">
        <v>10.0</v>
      </c>
    </row>
    <row r="40" ht="15.75" customHeight="1">
      <c r="A40" s="78">
        <v>7.0</v>
      </c>
      <c r="B40" s="78" t="s">
        <v>878</v>
      </c>
      <c r="C40" s="78">
        <f t="shared" si="16"/>
        <v>9.1</v>
      </c>
      <c r="D40" s="78">
        <v>9.0</v>
      </c>
    </row>
    <row r="41" ht="15.75" customHeight="1">
      <c r="A41" s="78">
        <v>8.0</v>
      </c>
      <c r="B41" s="78" t="s">
        <v>879</v>
      </c>
      <c r="C41" s="78">
        <f t="shared" si="16"/>
        <v>8.4</v>
      </c>
      <c r="D41" s="78">
        <v>9.0</v>
      </c>
    </row>
    <row r="42" ht="15.75" customHeight="1">
      <c r="A42" s="78">
        <v>9.0</v>
      </c>
      <c r="B42" s="78" t="s">
        <v>880</v>
      </c>
      <c r="C42" s="78">
        <f t="shared" si="16"/>
        <v>7.7</v>
      </c>
      <c r="D42" s="78">
        <v>9.0</v>
      </c>
    </row>
    <row r="43" ht="15.75" customHeight="1">
      <c r="A43" s="78">
        <v>10.0</v>
      </c>
      <c r="B43" s="78" t="s">
        <v>881</v>
      </c>
      <c r="C43" s="78">
        <f t="shared" si="16"/>
        <v>7</v>
      </c>
      <c r="D43" s="78">
        <v>7.0</v>
      </c>
    </row>
    <row r="44" ht="15.75" customHeight="1">
      <c r="A44" s="78">
        <v>11.0</v>
      </c>
      <c r="B44" s="78" t="s">
        <v>882</v>
      </c>
      <c r="C44" s="78">
        <f t="shared" si="16"/>
        <v>6.3</v>
      </c>
      <c r="D44" s="78">
        <v>7.0</v>
      </c>
    </row>
    <row r="45" ht="15.75" customHeight="1">
      <c r="A45" s="78">
        <v>12.0</v>
      </c>
      <c r="B45" s="78" t="s">
        <v>883</v>
      </c>
      <c r="C45" s="78">
        <f t="shared" si="16"/>
        <v>5.6</v>
      </c>
      <c r="D45" s="82"/>
    </row>
    <row r="46" ht="15.75" customHeight="1">
      <c r="A46" s="78">
        <v>13.0</v>
      </c>
      <c r="B46" s="78" t="s">
        <v>885</v>
      </c>
      <c r="C46" s="78">
        <f t="shared" si="16"/>
        <v>4.9</v>
      </c>
      <c r="D46" s="82"/>
    </row>
    <row r="47" ht="15.75" customHeight="1">
      <c r="A47" s="78">
        <v>14.0</v>
      </c>
      <c r="B47" s="78" t="s">
        <v>887</v>
      </c>
      <c r="C47" s="78">
        <f t="shared" si="16"/>
        <v>4.2</v>
      </c>
      <c r="D47" s="82"/>
    </row>
    <row r="48" ht="15.75" customHeight="1">
      <c r="A48" s="78">
        <v>15.0</v>
      </c>
      <c r="B48" s="78" t="s">
        <v>889</v>
      </c>
      <c r="C48" s="78">
        <f t="shared" si="16"/>
        <v>3.5</v>
      </c>
      <c r="D48" s="82"/>
    </row>
    <row r="49" ht="15.75" customHeight="1">
      <c r="A49" s="78">
        <v>16.0</v>
      </c>
      <c r="B49" s="78" t="s">
        <v>891</v>
      </c>
      <c r="C49" s="78">
        <f t="shared" si="16"/>
        <v>2.8</v>
      </c>
      <c r="D49" s="82"/>
    </row>
    <row r="50" ht="15.75" customHeight="1">
      <c r="A50" s="78">
        <v>17.0</v>
      </c>
      <c r="B50" s="78" t="s">
        <v>892</v>
      </c>
      <c r="C50" s="78">
        <f t="shared" si="16"/>
        <v>2.1</v>
      </c>
      <c r="D50" s="82"/>
    </row>
    <row r="51" ht="15.75" customHeight="1">
      <c r="A51" s="78">
        <v>18.0</v>
      </c>
      <c r="B51" s="78" t="s">
        <v>895</v>
      </c>
      <c r="C51" s="78">
        <f t="shared" si="16"/>
        <v>1.4</v>
      </c>
      <c r="D51" s="82"/>
    </row>
    <row r="52" ht="15.75" customHeight="1">
      <c r="A52" s="78">
        <v>19.0</v>
      </c>
      <c r="B52" s="78" t="s">
        <v>897</v>
      </c>
      <c r="C52" s="78">
        <f t="shared" si="16"/>
        <v>0.7</v>
      </c>
      <c r="D52" s="82"/>
    </row>
    <row r="53" ht="15.75" customHeight="1">
      <c r="A53" s="78">
        <v>20.0</v>
      </c>
      <c r="B53" s="78" t="s">
        <v>900</v>
      </c>
      <c r="C53" s="78">
        <f t="shared" si="16"/>
        <v>0</v>
      </c>
      <c r="D53" s="82"/>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3:AD3"/>
    <mergeCell ref="C6:AD6"/>
    <mergeCell ref="C7:AD7"/>
    <mergeCell ref="A13:I13"/>
    <mergeCell ref="J13:AC13"/>
  </mergeCells>
  <conditionalFormatting sqref="H15:H28">
    <cfRule type="expression" dxfId="0" priority="1">
      <formula>H15="Hecho"</formula>
    </cfRule>
  </conditionalFormatting>
  <conditionalFormatting sqref="H15:H28">
    <cfRule type="expression" dxfId="0" priority="2">
      <formula>H15="Aprobado"</formula>
    </cfRule>
  </conditionalFormatting>
  <conditionalFormatting sqref="H15:H28">
    <cfRule type="expression" dxfId="0" priority="3">
      <formula>H15="Cerrado"</formula>
    </cfRule>
  </conditionalFormatting>
  <conditionalFormatting sqref="H15:H28">
    <cfRule type="expression" dxfId="0" priority="4">
      <formula>H15="Implementado"</formula>
    </cfRule>
  </conditionalFormatting>
  <conditionalFormatting sqref="H15:H28">
    <cfRule type="expression" dxfId="0" priority="5">
      <formula>H15="Terminado"</formula>
    </cfRule>
  </conditionalFormatting>
  <conditionalFormatting sqref="H15:H28">
    <cfRule type="expression" dxfId="0" priority="6">
      <formula>H15="Aplicado"</formula>
    </cfRule>
  </conditionalFormatting>
  <conditionalFormatting sqref="H15:H28">
    <cfRule type="expression" dxfId="0" priority="7">
      <formula>H15="A"</formula>
    </cfRule>
  </conditionalFormatting>
  <conditionalFormatting sqref="H15:H28">
    <cfRule type="expression" dxfId="1" priority="8">
      <formula>H15="En curso"</formula>
    </cfRule>
  </conditionalFormatting>
  <conditionalFormatting sqref="H15:H28">
    <cfRule type="expression" dxfId="1" priority="9">
      <formula>H15="Pendiente"</formula>
    </cfRule>
  </conditionalFormatting>
  <conditionalFormatting sqref="H15:H28">
    <cfRule type="expression" dxfId="1" priority="10">
      <formula>H15="Corregido"</formula>
    </cfRule>
  </conditionalFormatting>
  <conditionalFormatting sqref="H15:H28">
    <cfRule type="expression" dxfId="1" priority="11">
      <formula>H15="En desarrollo"</formula>
    </cfRule>
  </conditionalFormatting>
  <conditionalFormatting sqref="H15:H28">
    <cfRule type="expression" dxfId="1" priority="12">
      <formula>H15="En evaluación"</formula>
    </cfRule>
  </conditionalFormatting>
  <conditionalFormatting sqref="H15:H28">
    <cfRule type="expression" dxfId="1" priority="13">
      <formula>H15="En ejecución"</formula>
    </cfRule>
  </conditionalFormatting>
  <conditionalFormatting sqref="H15:H28">
    <cfRule type="expression" dxfId="1" priority="14">
      <formula>H15="Prueba de concepto"</formula>
    </cfRule>
  </conditionalFormatting>
  <conditionalFormatting sqref="H15:H28">
    <cfRule type="expression" dxfId="2" priority="15">
      <formula>H15="Por hacer"</formula>
    </cfRule>
  </conditionalFormatting>
  <conditionalFormatting sqref="H15:H28">
    <cfRule type="expression" dxfId="2" priority="16">
      <formula>H15="Planificado"</formula>
    </cfRule>
  </conditionalFormatting>
  <conditionalFormatting sqref="H15:H28">
    <cfRule type="expression" dxfId="2" priority="17">
      <formula>H15="Diseñado"</formula>
    </cfRule>
  </conditionalFormatting>
  <conditionalFormatting sqref="H15:H28">
    <cfRule type="expression" dxfId="3" priority="18">
      <formula>H15="Fallido"</formula>
    </cfRule>
  </conditionalFormatting>
  <conditionalFormatting sqref="H15:H28">
    <cfRule type="expression" dxfId="3" priority="19">
      <formula>H15="Abierto"</formula>
    </cfRule>
  </conditionalFormatting>
  <conditionalFormatting sqref="H15:H28">
    <cfRule type="expression" dxfId="3" priority="20">
      <formula>H15="R"</formula>
    </cfRule>
  </conditionalFormatting>
  <conditionalFormatting sqref="H15:H28">
    <cfRule type="expression" dxfId="4" priority="21">
      <formula>H15="Anulado"</formula>
    </cfRule>
  </conditionalFormatting>
  <conditionalFormatting sqref="H15:H28">
    <cfRule type="expression" dxfId="4" priority="22">
      <formula>H15="Descartada"</formula>
    </cfRule>
  </conditionalFormatting>
  <conditionalFormatting sqref="H15:H28">
    <cfRule type="expression" dxfId="4" priority="23">
      <formula>H15="No aplica"</formula>
    </cfRule>
  </conditionalFormatting>
  <conditionalFormatting sqref="AD15:AD28">
    <cfRule type="expression" dxfId="0" priority="24">
      <formula>AD15="Hecho"</formula>
    </cfRule>
  </conditionalFormatting>
  <conditionalFormatting sqref="AD15:AD28">
    <cfRule type="expression" dxfId="0" priority="25">
      <formula>AD15="Aprobado"</formula>
    </cfRule>
  </conditionalFormatting>
  <conditionalFormatting sqref="AD15:AD28">
    <cfRule type="expression" dxfId="0" priority="26">
      <formula>AD15="Cerrado"</formula>
    </cfRule>
  </conditionalFormatting>
  <conditionalFormatting sqref="AD15:AD28">
    <cfRule type="expression" dxfId="0" priority="27">
      <formula>AD15="Implementado"</formula>
    </cfRule>
  </conditionalFormatting>
  <conditionalFormatting sqref="AD15:AD28">
    <cfRule type="expression" dxfId="0" priority="28">
      <formula>AD15="Terminado"</formula>
    </cfRule>
  </conditionalFormatting>
  <conditionalFormatting sqref="AD15:AD28">
    <cfRule type="expression" dxfId="0" priority="29">
      <formula>AD15="Aplicado"</formula>
    </cfRule>
  </conditionalFormatting>
  <conditionalFormatting sqref="AD15:AD28">
    <cfRule type="expression" dxfId="0" priority="30">
      <formula>AD15="A"</formula>
    </cfRule>
  </conditionalFormatting>
  <conditionalFormatting sqref="AD15:AD28">
    <cfRule type="expression" dxfId="1" priority="31">
      <formula>AD15="En curso"</formula>
    </cfRule>
  </conditionalFormatting>
  <conditionalFormatting sqref="AD15:AD28">
    <cfRule type="expression" dxfId="1" priority="32">
      <formula>AD15="Pendiente"</formula>
    </cfRule>
  </conditionalFormatting>
  <conditionalFormatting sqref="AD15:AD28">
    <cfRule type="expression" dxfId="1" priority="33">
      <formula>AD15="Corregido"</formula>
    </cfRule>
  </conditionalFormatting>
  <conditionalFormatting sqref="AD15:AD28">
    <cfRule type="expression" dxfId="1" priority="34">
      <formula>AD15="En desarrollo"</formula>
    </cfRule>
  </conditionalFormatting>
  <conditionalFormatting sqref="AD15:AD28">
    <cfRule type="expression" dxfId="1" priority="35">
      <formula>AD15="En evaluación"</formula>
    </cfRule>
  </conditionalFormatting>
  <conditionalFormatting sqref="AD15:AD28">
    <cfRule type="expression" dxfId="1" priority="36">
      <formula>AD15="En ejecución"</formula>
    </cfRule>
  </conditionalFormatting>
  <conditionalFormatting sqref="AD15:AD28">
    <cfRule type="expression" dxfId="1" priority="37">
      <formula>AD15="Prueba de concepto"</formula>
    </cfRule>
  </conditionalFormatting>
  <conditionalFormatting sqref="AD15:AD28">
    <cfRule type="expression" dxfId="2" priority="38">
      <formula>AD15="Por hacer"</formula>
    </cfRule>
  </conditionalFormatting>
  <conditionalFormatting sqref="AD15:AD28">
    <cfRule type="expression" dxfId="2" priority="39">
      <formula>AD15="Planificado"</formula>
    </cfRule>
  </conditionalFormatting>
  <conditionalFormatting sqref="AD15:AD28">
    <cfRule type="expression" dxfId="2" priority="40">
      <formula>AD15="Diseñado"</formula>
    </cfRule>
  </conditionalFormatting>
  <conditionalFormatting sqref="AD15:AD28">
    <cfRule type="expression" dxfId="3" priority="41">
      <formula>AD15="Fallido"</formula>
    </cfRule>
  </conditionalFormatting>
  <conditionalFormatting sqref="AD15:AD28">
    <cfRule type="expression" dxfId="3" priority="42">
      <formula>AD15="Abierto"</formula>
    </cfRule>
  </conditionalFormatting>
  <conditionalFormatting sqref="AD15:AD28">
    <cfRule type="expression" dxfId="3" priority="43">
      <formula>AD15="R"</formula>
    </cfRule>
  </conditionalFormatting>
  <conditionalFormatting sqref="AD15:AD28">
    <cfRule type="expression" dxfId="4" priority="44">
      <formula>AD15="Anulado"</formula>
    </cfRule>
  </conditionalFormatting>
  <conditionalFormatting sqref="AD15:AD28">
    <cfRule type="expression" dxfId="4" priority="45">
      <formula>AD15="Descartada"</formula>
    </cfRule>
  </conditionalFormatting>
  <conditionalFormatting sqref="AD15:AD28">
    <cfRule type="expression" dxfId="4" priority="46">
      <formula>AD15="No aplica"</formula>
    </cfRule>
  </conditionalFormatting>
  <conditionalFormatting sqref="J15:AC28">
    <cfRule type="expression" dxfId="0" priority="47">
      <formula>J15="✔"</formula>
    </cfRule>
  </conditionalFormatting>
  <dataValidations>
    <dataValidation type="list" allowBlank="1" sqref="AD15:AD28">
      <formula1>"A,R"</formula1>
    </dataValidation>
    <dataValidation type="list" allowBlank="1" sqref="H15:H28">
      <formula1>"Por hacer,En curso,Hecho,Descartada"</formula1>
    </dataValidation>
  </dataValidations>
  <printOptions/>
  <pageMargins bottom="0.5" footer="0.0" header="0.0" left="0.4" right="0.4" top="0.5"/>
  <pageSetup fitToHeight="0"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2.0" ySplit="14.0" topLeftCell="C15" activePane="bottomRight" state="frozen"/>
      <selection activeCell="C1" sqref="C1" pane="topRight"/>
      <selection activeCell="A15" sqref="A15" pane="bottomLeft"/>
      <selection activeCell="C15" sqref="C15" pane="bottomRight"/>
    </sheetView>
  </sheetViews>
  <sheetFormatPr customHeight="1" defaultColWidth="14.43" defaultRowHeight="15.0"/>
  <cols>
    <col customWidth="1" min="1" max="1" width="5.0"/>
    <col customWidth="1" min="2" max="2" width="46.0"/>
    <col customWidth="1" min="3" max="4" width="17.0"/>
    <col customWidth="1" min="5" max="7" width="7.0"/>
    <col customWidth="1" min="8" max="8" width="14.71"/>
    <col customWidth="1" min="9" max="9" width="8.0"/>
    <col customWidth="1" min="10" max="30" width="3.71"/>
    <col customWidth="1" min="31" max="31" width="7.0"/>
  </cols>
  <sheetData>
    <row r="1" ht="18.0" customHeight="1">
      <c r="A1" s="1" t="s">
        <v>1068</v>
      </c>
    </row>
    <row r="2">
      <c r="A2" s="2" t="s">
        <v>1071</v>
      </c>
    </row>
    <row r="3" ht="16.5" customHeight="1">
      <c r="B3" s="56" t="s">
        <v>733</v>
      </c>
      <c r="C3" s="57" t="s">
        <v>764</v>
      </c>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1"/>
    </row>
    <row r="4" ht="16.5" customHeight="1">
      <c r="B4" s="56" t="s">
        <v>731</v>
      </c>
      <c r="C4" s="59">
        <v>46299.0</v>
      </c>
    </row>
    <row r="5" ht="16.5" customHeight="1">
      <c r="B5" s="56" t="s">
        <v>713</v>
      </c>
      <c r="C5" s="59">
        <f>IF(C4="","",C4+20)</f>
        <v>46319</v>
      </c>
    </row>
    <row r="6" ht="16.5" customHeight="1">
      <c r="B6" s="56" t="s">
        <v>781</v>
      </c>
      <c r="C6" s="6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1"/>
    </row>
    <row r="7" ht="16.5" customHeight="1">
      <c r="B7" s="56" t="s">
        <v>782</v>
      </c>
      <c r="C7" s="57" t="s">
        <v>1074</v>
      </c>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1"/>
    </row>
    <row r="8" ht="16.5" customHeight="1">
      <c r="B8" s="56" t="s">
        <v>785</v>
      </c>
      <c r="C8" s="62">
        <f>ROUND(2*10*21/7,0)</f>
        <v>60</v>
      </c>
    </row>
    <row r="9" ht="16.5" customHeight="1">
      <c r="B9" s="56" t="s">
        <v>788</v>
      </c>
      <c r="C9" s="62">
        <f>SUM(E15:E23)</f>
        <v>36</v>
      </c>
    </row>
    <row r="10" ht="16.5" customHeight="1">
      <c r="B10" s="56" t="s">
        <v>789</v>
      </c>
      <c r="C10" s="62">
        <f>COUNTIF(G15:G23,C4)</f>
        <v>9</v>
      </c>
    </row>
    <row r="11" ht="16.5" customHeight="1">
      <c r="B11" s="56" t="s">
        <v>790</v>
      </c>
      <c r="C11" s="63">
        <v>46299.0</v>
      </c>
    </row>
    <row r="13" ht="18.0" customHeight="1">
      <c r="A13" s="14" t="s">
        <v>792</v>
      </c>
      <c r="B13" s="15"/>
      <c r="C13" s="15"/>
      <c r="D13" s="15"/>
      <c r="E13" s="15"/>
      <c r="F13" s="15"/>
      <c r="G13" s="15"/>
      <c r="H13" s="15"/>
      <c r="I13" s="17"/>
      <c r="J13" s="14" t="s">
        <v>793</v>
      </c>
      <c r="K13" s="15"/>
      <c r="L13" s="15"/>
      <c r="M13" s="15"/>
      <c r="N13" s="15"/>
      <c r="O13" s="15"/>
      <c r="P13" s="15"/>
      <c r="Q13" s="15"/>
      <c r="R13" s="15"/>
      <c r="S13" s="15"/>
      <c r="T13" s="15"/>
      <c r="U13" s="15"/>
      <c r="V13" s="15"/>
      <c r="W13" s="15"/>
      <c r="X13" s="15"/>
      <c r="Y13" s="15"/>
      <c r="Z13" s="15"/>
      <c r="AA13" s="15"/>
      <c r="AB13" s="15"/>
      <c r="AC13" s="15"/>
      <c r="AD13" s="17"/>
      <c r="AE13" s="65" t="s">
        <v>794</v>
      </c>
    </row>
    <row r="14" ht="39.75" customHeight="1">
      <c r="A14" s="18" t="s">
        <v>619</v>
      </c>
      <c r="B14" s="18" t="s">
        <v>742</v>
      </c>
      <c r="C14" s="18" t="s">
        <v>795</v>
      </c>
      <c r="D14" s="18" t="s">
        <v>97</v>
      </c>
      <c r="E14" s="18" t="s">
        <v>796</v>
      </c>
      <c r="F14" s="18" t="s">
        <v>797</v>
      </c>
      <c r="G14" s="18" t="s">
        <v>559</v>
      </c>
      <c r="H14" s="18" t="s">
        <v>339</v>
      </c>
      <c r="I14" s="18" t="s">
        <v>713</v>
      </c>
      <c r="J14" s="66">
        <f>IF($C$4="","",$C$4+0)</f>
        <v>46299</v>
      </c>
      <c r="K14" s="66">
        <f>IF($C$4="","",$C$4+1)</f>
        <v>46300</v>
      </c>
      <c r="L14" s="66">
        <f>IF($C$4="","",$C$4+2)</f>
        <v>46301</v>
      </c>
      <c r="M14" s="66">
        <f>IF($C$4="","",$C$4+3)</f>
        <v>46302</v>
      </c>
      <c r="N14" s="66">
        <f>IF($C$4="","",$C$4+4)</f>
        <v>46303</v>
      </c>
      <c r="O14" s="66">
        <f>IF($C$4="","",$C$4+5)</f>
        <v>46304</v>
      </c>
      <c r="P14" s="66">
        <f>IF($C$4="","",$C$4+6)</f>
        <v>46305</v>
      </c>
      <c r="Q14" s="66">
        <f>IF($C$4="","",$C$4+7)</f>
        <v>46306</v>
      </c>
      <c r="R14" s="66">
        <f>IF($C$4="","",$C$4+8)</f>
        <v>46307</v>
      </c>
      <c r="S14" s="66">
        <f>IF($C$4="","",$C$4+9)</f>
        <v>46308</v>
      </c>
      <c r="T14" s="66">
        <f>IF($C$4="","",$C$4+10)</f>
        <v>46309</v>
      </c>
      <c r="U14" s="66">
        <f>IF($C$4="","",$C$4+11)</f>
        <v>46310</v>
      </c>
      <c r="V14" s="66">
        <f>IF($C$4="","",$C$4+12)</f>
        <v>46311</v>
      </c>
      <c r="W14" s="66">
        <f>IF($C$4="","",$C$4+13)</f>
        <v>46312</v>
      </c>
      <c r="X14" s="66">
        <f>IF($C$4="","",$C$4+14)</f>
        <v>46313</v>
      </c>
      <c r="Y14" s="66">
        <f>IF($C$4="","",$C$4+15)</f>
        <v>46314</v>
      </c>
      <c r="Z14" s="66">
        <f>IF($C$4="","",$C$4+16)</f>
        <v>46315</v>
      </c>
      <c r="AA14" s="66">
        <f>IF($C$4="","",$C$4+17)</f>
        <v>46316</v>
      </c>
      <c r="AB14" s="66">
        <f>IF($C$4="","",$C$4+18)</f>
        <v>46317</v>
      </c>
      <c r="AC14" s="66">
        <f>IF($C$4="","",$C$4+19)</f>
        <v>46318</v>
      </c>
      <c r="AD14" s="66">
        <f>IF($C$4="","",$C$4+20)</f>
        <v>46319</v>
      </c>
      <c r="AE14" s="18" t="s">
        <v>799</v>
      </c>
    </row>
    <row r="15" ht="30.75" customHeight="1">
      <c r="A15" s="16">
        <v>1.0</v>
      </c>
      <c r="B15" s="6" t="s">
        <v>1078</v>
      </c>
      <c r="C15" s="6" t="s">
        <v>392</v>
      </c>
      <c r="D15" s="6" t="s">
        <v>30</v>
      </c>
      <c r="E15" s="8">
        <v>1.0</v>
      </c>
      <c r="F15" s="67"/>
      <c r="G15" s="68">
        <v>46299.0</v>
      </c>
      <c r="H15" s="16" t="s">
        <v>375</v>
      </c>
      <c r="I15" s="68">
        <v>46299.0</v>
      </c>
      <c r="J15" s="16" t="str">
        <f t="shared" ref="J15:AD15" si="1">IF($I15=J$14,"✔","")</f>
        <v>✔</v>
      </c>
      <c r="K15" s="16" t="str">
        <f t="shared" si="1"/>
        <v/>
      </c>
      <c r="L15" s="16" t="str">
        <f t="shared" si="1"/>
        <v/>
      </c>
      <c r="M15" s="16" t="str">
        <f t="shared" si="1"/>
        <v/>
      </c>
      <c r="N15" s="16" t="str">
        <f t="shared" si="1"/>
        <v/>
      </c>
      <c r="O15" s="16" t="str">
        <f t="shared" si="1"/>
        <v/>
      </c>
      <c r="P15" s="16" t="str">
        <f t="shared" si="1"/>
        <v/>
      </c>
      <c r="Q15" s="16" t="str">
        <f t="shared" si="1"/>
        <v/>
      </c>
      <c r="R15" s="16" t="str">
        <f t="shared" si="1"/>
        <v/>
      </c>
      <c r="S15" s="16" t="str">
        <f t="shared" si="1"/>
        <v/>
      </c>
      <c r="T15" s="16" t="str">
        <f t="shared" si="1"/>
        <v/>
      </c>
      <c r="U15" s="16" t="str">
        <f t="shared" si="1"/>
        <v/>
      </c>
      <c r="V15" s="16" t="str">
        <f t="shared" si="1"/>
        <v/>
      </c>
      <c r="W15" s="16" t="str">
        <f t="shared" si="1"/>
        <v/>
      </c>
      <c r="X15" s="16" t="str">
        <f t="shared" si="1"/>
        <v/>
      </c>
      <c r="Y15" s="16" t="str">
        <f t="shared" si="1"/>
        <v/>
      </c>
      <c r="Z15" s="16" t="str">
        <f t="shared" si="1"/>
        <v/>
      </c>
      <c r="AA15" s="16" t="str">
        <f t="shared" si="1"/>
        <v/>
      </c>
      <c r="AB15" s="16" t="str">
        <f t="shared" si="1"/>
        <v/>
      </c>
      <c r="AC15" s="16" t="str">
        <f t="shared" si="1"/>
        <v/>
      </c>
      <c r="AD15" s="16" t="str">
        <f t="shared" si="1"/>
        <v/>
      </c>
      <c r="AE15" s="67"/>
    </row>
    <row r="16" ht="30.75" customHeight="1">
      <c r="A16" s="24">
        <v>2.0</v>
      </c>
      <c r="B16" s="11" t="s">
        <v>1083</v>
      </c>
      <c r="C16" s="11" t="s">
        <v>1084</v>
      </c>
      <c r="D16" s="11" t="s">
        <v>39</v>
      </c>
      <c r="E16" s="13">
        <v>5.0</v>
      </c>
      <c r="F16" s="67"/>
      <c r="G16" s="70">
        <v>46299.0</v>
      </c>
      <c r="H16" s="24" t="s">
        <v>418</v>
      </c>
      <c r="I16" s="70"/>
      <c r="J16" s="24" t="str">
        <f t="shared" ref="J16:AD16" si="2">IF($I16=J$14,"✔","")</f>
        <v/>
      </c>
      <c r="K16" s="24" t="str">
        <f t="shared" si="2"/>
        <v/>
      </c>
      <c r="L16" s="24" t="str">
        <f t="shared" si="2"/>
        <v/>
      </c>
      <c r="M16" s="24" t="str">
        <f t="shared" si="2"/>
        <v/>
      </c>
      <c r="N16" s="24" t="str">
        <f t="shared" si="2"/>
        <v/>
      </c>
      <c r="O16" s="24" t="str">
        <f t="shared" si="2"/>
        <v/>
      </c>
      <c r="P16" s="24" t="str">
        <f t="shared" si="2"/>
        <v/>
      </c>
      <c r="Q16" s="24" t="str">
        <f t="shared" si="2"/>
        <v/>
      </c>
      <c r="R16" s="24" t="str">
        <f t="shared" si="2"/>
        <v/>
      </c>
      <c r="S16" s="24" t="str">
        <f t="shared" si="2"/>
        <v/>
      </c>
      <c r="T16" s="24" t="str">
        <f t="shared" si="2"/>
        <v/>
      </c>
      <c r="U16" s="24" t="str">
        <f t="shared" si="2"/>
        <v/>
      </c>
      <c r="V16" s="24" t="str">
        <f t="shared" si="2"/>
        <v/>
      </c>
      <c r="W16" s="24" t="str">
        <f t="shared" si="2"/>
        <v/>
      </c>
      <c r="X16" s="24" t="str">
        <f t="shared" si="2"/>
        <v/>
      </c>
      <c r="Y16" s="24" t="str">
        <f t="shared" si="2"/>
        <v/>
      </c>
      <c r="Z16" s="24" t="str">
        <f t="shared" si="2"/>
        <v/>
      </c>
      <c r="AA16" s="24" t="str">
        <f t="shared" si="2"/>
        <v/>
      </c>
      <c r="AB16" s="24" t="str">
        <f t="shared" si="2"/>
        <v/>
      </c>
      <c r="AC16" s="24" t="str">
        <f t="shared" si="2"/>
        <v/>
      </c>
      <c r="AD16" s="24" t="str">
        <f t="shared" si="2"/>
        <v/>
      </c>
      <c r="AE16" s="67"/>
    </row>
    <row r="17" ht="30.75" customHeight="1">
      <c r="A17" s="16">
        <v>3.0</v>
      </c>
      <c r="B17" s="6" t="s">
        <v>1086</v>
      </c>
      <c r="C17" s="6" t="s">
        <v>809</v>
      </c>
      <c r="D17" s="6" t="s">
        <v>39</v>
      </c>
      <c r="E17" s="8">
        <v>4.0</v>
      </c>
      <c r="F17" s="67"/>
      <c r="G17" s="68">
        <v>46299.0</v>
      </c>
      <c r="H17" s="88" t="s">
        <v>375</v>
      </c>
      <c r="I17" s="68">
        <v>46299.0</v>
      </c>
      <c r="J17" s="16" t="str">
        <f t="shared" ref="J17:AD17" si="3">IF($I17=J$14,"✔","")</f>
        <v>✔</v>
      </c>
      <c r="K17" s="16" t="str">
        <f t="shared" si="3"/>
        <v/>
      </c>
      <c r="L17" s="16" t="str">
        <f t="shared" si="3"/>
        <v/>
      </c>
      <c r="M17" s="16" t="str">
        <f t="shared" si="3"/>
        <v/>
      </c>
      <c r="N17" s="16" t="str">
        <f t="shared" si="3"/>
        <v/>
      </c>
      <c r="O17" s="16" t="str">
        <f t="shared" si="3"/>
        <v/>
      </c>
      <c r="P17" s="16" t="str">
        <f t="shared" si="3"/>
        <v/>
      </c>
      <c r="Q17" s="16" t="str">
        <f t="shared" si="3"/>
        <v/>
      </c>
      <c r="R17" s="16" t="str">
        <f t="shared" si="3"/>
        <v/>
      </c>
      <c r="S17" s="16" t="str">
        <f t="shared" si="3"/>
        <v/>
      </c>
      <c r="T17" s="16" t="str">
        <f t="shared" si="3"/>
        <v/>
      </c>
      <c r="U17" s="16" t="str">
        <f t="shared" si="3"/>
        <v/>
      </c>
      <c r="V17" s="16" t="str">
        <f t="shared" si="3"/>
        <v/>
      </c>
      <c r="W17" s="16" t="str">
        <f t="shared" si="3"/>
        <v/>
      </c>
      <c r="X17" s="16" t="str">
        <f t="shared" si="3"/>
        <v/>
      </c>
      <c r="Y17" s="16" t="str">
        <f t="shared" si="3"/>
        <v/>
      </c>
      <c r="Z17" s="16" t="str">
        <f t="shared" si="3"/>
        <v/>
      </c>
      <c r="AA17" s="16" t="str">
        <f t="shared" si="3"/>
        <v/>
      </c>
      <c r="AB17" s="16" t="str">
        <f t="shared" si="3"/>
        <v/>
      </c>
      <c r="AC17" s="16" t="str">
        <f t="shared" si="3"/>
        <v/>
      </c>
      <c r="AD17" s="16" t="str">
        <f t="shared" si="3"/>
        <v/>
      </c>
      <c r="AE17" s="67"/>
    </row>
    <row r="18" ht="17.25" customHeight="1">
      <c r="A18" s="24">
        <v>4.0</v>
      </c>
      <c r="B18" s="11" t="s">
        <v>1089</v>
      </c>
      <c r="C18" s="11" t="s">
        <v>824</v>
      </c>
      <c r="D18" s="11" t="s">
        <v>39</v>
      </c>
      <c r="E18" s="13">
        <v>5.0</v>
      </c>
      <c r="F18" s="67"/>
      <c r="G18" s="70">
        <v>46299.0</v>
      </c>
      <c r="H18" s="73" t="s">
        <v>375</v>
      </c>
      <c r="I18" s="68">
        <v>46299.0</v>
      </c>
      <c r="J18" s="24" t="str">
        <f t="shared" ref="J18:AD18" si="4">IF($I18=J$14,"✔","")</f>
        <v>✔</v>
      </c>
      <c r="K18" s="24" t="str">
        <f t="shared" si="4"/>
        <v/>
      </c>
      <c r="L18" s="24" t="str">
        <f t="shared" si="4"/>
        <v/>
      </c>
      <c r="M18" s="24" t="str">
        <f t="shared" si="4"/>
        <v/>
      </c>
      <c r="N18" s="24" t="str">
        <f t="shared" si="4"/>
        <v/>
      </c>
      <c r="O18" s="24" t="str">
        <f t="shared" si="4"/>
        <v/>
      </c>
      <c r="P18" s="24" t="str">
        <f t="shared" si="4"/>
        <v/>
      </c>
      <c r="Q18" s="24" t="str">
        <f t="shared" si="4"/>
        <v/>
      </c>
      <c r="R18" s="24" t="str">
        <f t="shared" si="4"/>
        <v/>
      </c>
      <c r="S18" s="24" t="str">
        <f t="shared" si="4"/>
        <v/>
      </c>
      <c r="T18" s="24" t="str">
        <f t="shared" si="4"/>
        <v/>
      </c>
      <c r="U18" s="24" t="str">
        <f t="shared" si="4"/>
        <v/>
      </c>
      <c r="V18" s="24" t="str">
        <f t="shared" si="4"/>
        <v/>
      </c>
      <c r="W18" s="24" t="str">
        <f t="shared" si="4"/>
        <v/>
      </c>
      <c r="X18" s="24" t="str">
        <f t="shared" si="4"/>
        <v/>
      </c>
      <c r="Y18" s="24" t="str">
        <f t="shared" si="4"/>
        <v/>
      </c>
      <c r="Z18" s="24" t="str">
        <f t="shared" si="4"/>
        <v/>
      </c>
      <c r="AA18" s="24" t="str">
        <f t="shared" si="4"/>
        <v/>
      </c>
      <c r="AB18" s="24" t="str">
        <f t="shared" si="4"/>
        <v/>
      </c>
      <c r="AC18" s="24" t="str">
        <f t="shared" si="4"/>
        <v/>
      </c>
      <c r="AD18" s="24" t="str">
        <f t="shared" si="4"/>
        <v/>
      </c>
      <c r="AE18" s="67"/>
    </row>
    <row r="19" ht="17.25" customHeight="1">
      <c r="A19" s="16">
        <v>5.0</v>
      </c>
      <c r="B19" s="6" t="s">
        <v>1091</v>
      </c>
      <c r="C19" s="6" t="s">
        <v>815</v>
      </c>
      <c r="D19" s="6" t="s">
        <v>39</v>
      </c>
      <c r="E19" s="8">
        <v>5.0</v>
      </c>
      <c r="F19" s="67"/>
      <c r="G19" s="68">
        <v>46299.0</v>
      </c>
      <c r="H19" s="88" t="s">
        <v>418</v>
      </c>
      <c r="I19" s="68"/>
      <c r="J19" s="16" t="str">
        <f t="shared" ref="J19:AD19" si="5">IF($I19=J$14,"✔","")</f>
        <v/>
      </c>
      <c r="K19" s="16" t="str">
        <f t="shared" si="5"/>
        <v/>
      </c>
      <c r="L19" s="16" t="str">
        <f t="shared" si="5"/>
        <v/>
      </c>
      <c r="M19" s="16" t="str">
        <f t="shared" si="5"/>
        <v/>
      </c>
      <c r="N19" s="16" t="str">
        <f t="shared" si="5"/>
        <v/>
      </c>
      <c r="O19" s="16" t="str">
        <f t="shared" si="5"/>
        <v/>
      </c>
      <c r="P19" s="16" t="str">
        <f t="shared" si="5"/>
        <v/>
      </c>
      <c r="Q19" s="16" t="str">
        <f t="shared" si="5"/>
        <v/>
      </c>
      <c r="R19" s="16" t="str">
        <f t="shared" si="5"/>
        <v/>
      </c>
      <c r="S19" s="16" t="str">
        <f t="shared" si="5"/>
        <v/>
      </c>
      <c r="T19" s="16" t="str">
        <f t="shared" si="5"/>
        <v/>
      </c>
      <c r="U19" s="16" t="str">
        <f t="shared" si="5"/>
        <v/>
      </c>
      <c r="V19" s="16" t="str">
        <f t="shared" si="5"/>
        <v/>
      </c>
      <c r="W19" s="16" t="str">
        <f t="shared" si="5"/>
        <v/>
      </c>
      <c r="X19" s="16" t="str">
        <f t="shared" si="5"/>
        <v/>
      </c>
      <c r="Y19" s="16" t="str">
        <f t="shared" si="5"/>
        <v/>
      </c>
      <c r="Z19" s="16" t="str">
        <f t="shared" si="5"/>
        <v/>
      </c>
      <c r="AA19" s="16" t="str">
        <f t="shared" si="5"/>
        <v/>
      </c>
      <c r="AB19" s="16" t="str">
        <f t="shared" si="5"/>
        <v/>
      </c>
      <c r="AC19" s="16" t="str">
        <f t="shared" si="5"/>
        <v/>
      </c>
      <c r="AD19" s="16" t="str">
        <f t="shared" si="5"/>
        <v/>
      </c>
      <c r="AE19" s="67"/>
    </row>
    <row r="20" ht="30.75" customHeight="1">
      <c r="A20" s="24">
        <v>6.0</v>
      </c>
      <c r="B20" s="11" t="s">
        <v>1094</v>
      </c>
      <c r="C20" s="11" t="s">
        <v>489</v>
      </c>
      <c r="D20" s="11" t="s">
        <v>30</v>
      </c>
      <c r="E20" s="13">
        <v>4.0</v>
      </c>
      <c r="F20" s="67"/>
      <c r="G20" s="70">
        <v>46299.0</v>
      </c>
      <c r="H20" s="24" t="s">
        <v>418</v>
      </c>
      <c r="I20" s="70"/>
      <c r="J20" s="24" t="str">
        <f t="shared" ref="J20:AD20" si="6">IF($I20=J$14,"✔","")</f>
        <v/>
      </c>
      <c r="K20" s="24" t="str">
        <f t="shared" si="6"/>
        <v/>
      </c>
      <c r="L20" s="24" t="str">
        <f t="shared" si="6"/>
        <v/>
      </c>
      <c r="M20" s="24" t="str">
        <f t="shared" si="6"/>
        <v/>
      </c>
      <c r="N20" s="24" t="str">
        <f t="shared" si="6"/>
        <v/>
      </c>
      <c r="O20" s="24" t="str">
        <f t="shared" si="6"/>
        <v/>
      </c>
      <c r="P20" s="24" t="str">
        <f t="shared" si="6"/>
        <v/>
      </c>
      <c r="Q20" s="24" t="str">
        <f t="shared" si="6"/>
        <v/>
      </c>
      <c r="R20" s="24" t="str">
        <f t="shared" si="6"/>
        <v/>
      </c>
      <c r="S20" s="24" t="str">
        <f t="shared" si="6"/>
        <v/>
      </c>
      <c r="T20" s="24" t="str">
        <f t="shared" si="6"/>
        <v/>
      </c>
      <c r="U20" s="24" t="str">
        <f t="shared" si="6"/>
        <v/>
      </c>
      <c r="V20" s="24" t="str">
        <f t="shared" si="6"/>
        <v/>
      </c>
      <c r="W20" s="24" t="str">
        <f t="shared" si="6"/>
        <v/>
      </c>
      <c r="X20" s="24" t="str">
        <f t="shared" si="6"/>
        <v/>
      </c>
      <c r="Y20" s="24" t="str">
        <f t="shared" si="6"/>
        <v/>
      </c>
      <c r="Z20" s="24" t="str">
        <f t="shared" si="6"/>
        <v/>
      </c>
      <c r="AA20" s="24" t="str">
        <f t="shared" si="6"/>
        <v/>
      </c>
      <c r="AB20" s="24" t="str">
        <f t="shared" si="6"/>
        <v/>
      </c>
      <c r="AC20" s="24" t="str">
        <f t="shared" si="6"/>
        <v/>
      </c>
      <c r="AD20" s="24" t="str">
        <f t="shared" si="6"/>
        <v/>
      </c>
      <c r="AE20" s="67"/>
    </row>
    <row r="21" ht="30.75" customHeight="1">
      <c r="A21" s="16">
        <v>7.0</v>
      </c>
      <c r="B21" s="6" t="s">
        <v>1099</v>
      </c>
      <c r="C21" s="6" t="s">
        <v>574</v>
      </c>
      <c r="D21" s="6" t="s">
        <v>30</v>
      </c>
      <c r="E21" s="8">
        <v>5.0</v>
      </c>
      <c r="F21" s="67"/>
      <c r="G21" s="68">
        <v>46299.0</v>
      </c>
      <c r="H21" s="88" t="s">
        <v>375</v>
      </c>
      <c r="I21" s="68">
        <v>46299.0</v>
      </c>
      <c r="J21" s="16" t="str">
        <f t="shared" ref="J21:AD21" si="7">IF($I21=J$14,"✔","")</f>
        <v>✔</v>
      </c>
      <c r="K21" s="16" t="str">
        <f t="shared" si="7"/>
        <v/>
      </c>
      <c r="L21" s="16" t="str">
        <f t="shared" si="7"/>
        <v/>
      </c>
      <c r="M21" s="16" t="str">
        <f t="shared" si="7"/>
        <v/>
      </c>
      <c r="N21" s="16" t="str">
        <f t="shared" si="7"/>
        <v/>
      </c>
      <c r="O21" s="16" t="str">
        <f t="shared" si="7"/>
        <v/>
      </c>
      <c r="P21" s="16" t="str">
        <f t="shared" si="7"/>
        <v/>
      </c>
      <c r="Q21" s="16" t="str">
        <f t="shared" si="7"/>
        <v/>
      </c>
      <c r="R21" s="16" t="str">
        <f t="shared" si="7"/>
        <v/>
      </c>
      <c r="S21" s="16" t="str">
        <f t="shared" si="7"/>
        <v/>
      </c>
      <c r="T21" s="16" t="str">
        <f t="shared" si="7"/>
        <v/>
      </c>
      <c r="U21" s="16" t="str">
        <f t="shared" si="7"/>
        <v/>
      </c>
      <c r="V21" s="16" t="str">
        <f t="shared" si="7"/>
        <v/>
      </c>
      <c r="W21" s="16" t="str">
        <f t="shared" si="7"/>
        <v/>
      </c>
      <c r="X21" s="16" t="str">
        <f t="shared" si="7"/>
        <v/>
      </c>
      <c r="Y21" s="16" t="str">
        <f t="shared" si="7"/>
        <v/>
      </c>
      <c r="Z21" s="16" t="str">
        <f t="shared" si="7"/>
        <v/>
      </c>
      <c r="AA21" s="16" t="str">
        <f t="shared" si="7"/>
        <v/>
      </c>
      <c r="AB21" s="16" t="str">
        <f t="shared" si="7"/>
        <v/>
      </c>
      <c r="AC21" s="16" t="str">
        <f t="shared" si="7"/>
        <v/>
      </c>
      <c r="AD21" s="16" t="str">
        <f t="shared" si="7"/>
        <v/>
      </c>
      <c r="AE21" s="67"/>
    </row>
    <row r="22" ht="30.75" customHeight="1">
      <c r="A22" s="24">
        <v>8.0</v>
      </c>
      <c r="B22" s="11" t="s">
        <v>1104</v>
      </c>
      <c r="C22" s="11" t="s">
        <v>521</v>
      </c>
      <c r="D22" s="11" t="s">
        <v>30</v>
      </c>
      <c r="E22" s="13">
        <v>5.0</v>
      </c>
      <c r="F22" s="67"/>
      <c r="G22" s="70">
        <v>46299.0</v>
      </c>
      <c r="H22" s="73" t="s">
        <v>375</v>
      </c>
      <c r="I22" s="68">
        <v>46299.0</v>
      </c>
      <c r="J22" s="24" t="str">
        <f t="shared" ref="J22:AD22" si="8">IF($I22=J$14,"✔","")</f>
        <v>✔</v>
      </c>
      <c r="K22" s="24" t="str">
        <f t="shared" si="8"/>
        <v/>
      </c>
      <c r="L22" s="24" t="str">
        <f t="shared" si="8"/>
        <v/>
      </c>
      <c r="M22" s="24" t="str">
        <f t="shared" si="8"/>
        <v/>
      </c>
      <c r="N22" s="24" t="str">
        <f t="shared" si="8"/>
        <v/>
      </c>
      <c r="O22" s="24" t="str">
        <f t="shared" si="8"/>
        <v/>
      </c>
      <c r="P22" s="24" t="str">
        <f t="shared" si="8"/>
        <v/>
      </c>
      <c r="Q22" s="24" t="str">
        <f t="shared" si="8"/>
        <v/>
      </c>
      <c r="R22" s="24" t="str">
        <f t="shared" si="8"/>
        <v/>
      </c>
      <c r="S22" s="24" t="str">
        <f t="shared" si="8"/>
        <v/>
      </c>
      <c r="T22" s="24" t="str">
        <f t="shared" si="8"/>
        <v/>
      </c>
      <c r="U22" s="24" t="str">
        <f t="shared" si="8"/>
        <v/>
      </c>
      <c r="V22" s="24" t="str">
        <f t="shared" si="8"/>
        <v/>
      </c>
      <c r="W22" s="24" t="str">
        <f t="shared" si="8"/>
        <v/>
      </c>
      <c r="X22" s="24" t="str">
        <f t="shared" si="8"/>
        <v/>
      </c>
      <c r="Y22" s="24" t="str">
        <f t="shared" si="8"/>
        <v/>
      </c>
      <c r="Z22" s="24" t="str">
        <f t="shared" si="8"/>
        <v/>
      </c>
      <c r="AA22" s="24" t="str">
        <f t="shared" si="8"/>
        <v/>
      </c>
      <c r="AB22" s="24" t="str">
        <f t="shared" si="8"/>
        <v/>
      </c>
      <c r="AC22" s="24" t="str">
        <f t="shared" si="8"/>
        <v/>
      </c>
      <c r="AD22" s="24" t="str">
        <f t="shared" si="8"/>
        <v/>
      </c>
      <c r="AE22" s="67"/>
    </row>
    <row r="23" ht="17.25" customHeight="1">
      <c r="A23" s="16">
        <v>9.0</v>
      </c>
      <c r="B23" s="6" t="s">
        <v>121</v>
      </c>
      <c r="C23" s="6" t="s">
        <v>1107</v>
      </c>
      <c r="D23" s="6" t="s">
        <v>30</v>
      </c>
      <c r="E23" s="8">
        <v>2.0</v>
      </c>
      <c r="F23" s="67"/>
      <c r="G23" s="68">
        <v>46299.0</v>
      </c>
      <c r="H23" s="16" t="s">
        <v>418</v>
      </c>
      <c r="I23" s="68"/>
      <c r="J23" s="16" t="str">
        <f t="shared" ref="J23:AD23" si="9">IF($I23=J$14,"✔","")</f>
        <v/>
      </c>
      <c r="K23" s="16" t="str">
        <f t="shared" si="9"/>
        <v/>
      </c>
      <c r="L23" s="16" t="str">
        <f t="shared" si="9"/>
        <v/>
      </c>
      <c r="M23" s="16" t="str">
        <f t="shared" si="9"/>
        <v/>
      </c>
      <c r="N23" s="16" t="str">
        <f t="shared" si="9"/>
        <v/>
      </c>
      <c r="O23" s="16" t="str">
        <f t="shared" si="9"/>
        <v/>
      </c>
      <c r="P23" s="16" t="str">
        <f t="shared" si="9"/>
        <v/>
      </c>
      <c r="Q23" s="16" t="str">
        <f t="shared" si="9"/>
        <v/>
      </c>
      <c r="R23" s="16" t="str">
        <f t="shared" si="9"/>
        <v/>
      </c>
      <c r="S23" s="16" t="str">
        <f t="shared" si="9"/>
        <v/>
      </c>
      <c r="T23" s="16" t="str">
        <f t="shared" si="9"/>
        <v/>
      </c>
      <c r="U23" s="16" t="str">
        <f t="shared" si="9"/>
        <v/>
      </c>
      <c r="V23" s="16" t="str">
        <f t="shared" si="9"/>
        <v/>
      </c>
      <c r="W23" s="16" t="str">
        <f t="shared" si="9"/>
        <v/>
      </c>
      <c r="X23" s="16" t="str">
        <f t="shared" si="9"/>
        <v/>
      </c>
      <c r="Y23" s="16" t="str">
        <f t="shared" si="9"/>
        <v/>
      </c>
      <c r="Z23" s="16" t="str">
        <f t="shared" si="9"/>
        <v/>
      </c>
      <c r="AA23" s="16" t="str">
        <f t="shared" si="9"/>
        <v/>
      </c>
      <c r="AB23" s="16" t="str">
        <f t="shared" si="9"/>
        <v/>
      </c>
      <c r="AC23" s="16" t="str">
        <f t="shared" si="9"/>
        <v/>
      </c>
      <c r="AD23" s="16" t="str">
        <f t="shared" si="9"/>
        <v/>
      </c>
      <c r="AE23" s="67"/>
    </row>
    <row r="24" ht="15.75" customHeight="1">
      <c r="A24" s="74"/>
      <c r="B24" s="74" t="s">
        <v>260</v>
      </c>
      <c r="C24" s="74"/>
      <c r="D24" s="74"/>
      <c r="E24" s="75">
        <f t="shared" ref="E24:F24" si="10">SUM(E15:E23)</f>
        <v>36</v>
      </c>
      <c r="F24" s="75">
        <f t="shared" si="10"/>
        <v>0</v>
      </c>
      <c r="G24" s="74"/>
      <c r="H24" s="75" t="str">
        <f>COUNTIF(H15:H23,"Hecho")&amp;" hechas"</f>
        <v>5 hechas</v>
      </c>
      <c r="I24" s="74"/>
      <c r="J24" s="74"/>
      <c r="K24" s="74"/>
      <c r="L24" s="74"/>
      <c r="M24" s="74"/>
      <c r="N24" s="74"/>
      <c r="O24" s="74"/>
      <c r="P24" s="74"/>
      <c r="Q24" s="74"/>
      <c r="R24" s="74"/>
      <c r="S24" s="74"/>
      <c r="T24" s="74"/>
      <c r="U24" s="74"/>
      <c r="V24" s="74"/>
      <c r="W24" s="74"/>
      <c r="X24" s="74"/>
      <c r="Y24" s="74"/>
      <c r="Z24" s="74"/>
      <c r="AA24" s="74"/>
      <c r="AB24" s="74"/>
      <c r="AC24" s="74"/>
      <c r="AD24" s="74"/>
      <c r="AE24" s="74"/>
    </row>
    <row r="25" ht="15.75" customHeight="1"/>
    <row r="26" ht="18.0" customHeight="1">
      <c r="A26" s="27" t="s">
        <v>830</v>
      </c>
    </row>
    <row r="27" ht="27.75" customHeight="1">
      <c r="A27" s="76" t="s">
        <v>834</v>
      </c>
      <c r="B27" s="76" t="s">
        <v>836</v>
      </c>
      <c r="C27" s="76" t="s">
        <v>837</v>
      </c>
      <c r="D27" s="76" t="s">
        <v>838</v>
      </c>
    </row>
    <row r="28" ht="15.75" customHeight="1">
      <c r="A28" s="78">
        <v>0.0</v>
      </c>
      <c r="B28" s="78" t="s">
        <v>840</v>
      </c>
      <c r="C28" s="78">
        <f t="shared" ref="C28:C49" si="11">IF($C$10=0,"",ROUND($C$10-$C$10*A28/21,1))</f>
        <v>9</v>
      </c>
      <c r="D28" s="78">
        <v>9.0</v>
      </c>
    </row>
    <row r="29" ht="15.75" customHeight="1">
      <c r="A29" s="78">
        <v>1.0</v>
      </c>
      <c r="B29" s="78" t="s">
        <v>882</v>
      </c>
      <c r="C29" s="78">
        <f t="shared" si="11"/>
        <v>8.6</v>
      </c>
      <c r="D29" s="78">
        <v>8.0</v>
      </c>
    </row>
    <row r="30" ht="15.75" customHeight="1">
      <c r="A30" s="78">
        <v>2.0</v>
      </c>
      <c r="B30" s="78" t="s">
        <v>883</v>
      </c>
      <c r="C30" s="78">
        <f t="shared" si="11"/>
        <v>8.1</v>
      </c>
      <c r="D30" s="82"/>
    </row>
    <row r="31" ht="15.75" customHeight="1">
      <c r="A31" s="78">
        <v>3.0</v>
      </c>
      <c r="B31" s="78" t="s">
        <v>885</v>
      </c>
      <c r="C31" s="78">
        <f t="shared" si="11"/>
        <v>7.7</v>
      </c>
      <c r="D31" s="82"/>
    </row>
    <row r="32" ht="15.75" customHeight="1">
      <c r="A32" s="78">
        <v>4.0</v>
      </c>
      <c r="B32" s="78" t="s">
        <v>887</v>
      </c>
      <c r="C32" s="78">
        <f t="shared" si="11"/>
        <v>7.3</v>
      </c>
      <c r="D32" s="82"/>
    </row>
    <row r="33" ht="15.75" customHeight="1">
      <c r="A33" s="78">
        <v>5.0</v>
      </c>
      <c r="B33" s="78" t="s">
        <v>889</v>
      </c>
      <c r="C33" s="78">
        <f t="shared" si="11"/>
        <v>6.9</v>
      </c>
      <c r="D33" s="82"/>
    </row>
    <row r="34" ht="15.75" customHeight="1">
      <c r="A34" s="78">
        <v>6.0</v>
      </c>
      <c r="B34" s="78" t="s">
        <v>891</v>
      </c>
      <c r="C34" s="78">
        <f t="shared" si="11"/>
        <v>6.4</v>
      </c>
      <c r="D34" s="82"/>
    </row>
    <row r="35" ht="15.75" customHeight="1">
      <c r="A35" s="78">
        <v>7.0</v>
      </c>
      <c r="B35" s="78" t="s">
        <v>892</v>
      </c>
      <c r="C35" s="78">
        <f t="shared" si="11"/>
        <v>6</v>
      </c>
      <c r="D35" s="82"/>
    </row>
    <row r="36" ht="15.75" customHeight="1">
      <c r="A36" s="78">
        <v>8.0</v>
      </c>
      <c r="B36" s="78" t="s">
        <v>895</v>
      </c>
      <c r="C36" s="78">
        <f t="shared" si="11"/>
        <v>5.6</v>
      </c>
      <c r="D36" s="82"/>
    </row>
    <row r="37" ht="15.75" customHeight="1">
      <c r="A37" s="78">
        <v>9.0</v>
      </c>
      <c r="B37" s="78" t="s">
        <v>897</v>
      </c>
      <c r="C37" s="78">
        <f t="shared" si="11"/>
        <v>5.1</v>
      </c>
      <c r="D37" s="82"/>
    </row>
    <row r="38" ht="15.75" customHeight="1">
      <c r="A38" s="78">
        <v>10.0</v>
      </c>
      <c r="B38" s="78" t="s">
        <v>900</v>
      </c>
      <c r="C38" s="78">
        <f t="shared" si="11"/>
        <v>4.7</v>
      </c>
      <c r="D38" s="82"/>
    </row>
    <row r="39" ht="15.75" customHeight="1">
      <c r="A39" s="78">
        <v>11.0</v>
      </c>
      <c r="B39" s="78" t="s">
        <v>1123</v>
      </c>
      <c r="C39" s="78">
        <f t="shared" si="11"/>
        <v>4.3</v>
      </c>
      <c r="D39" s="82"/>
    </row>
    <row r="40" ht="15.75" customHeight="1">
      <c r="A40" s="78">
        <v>12.0</v>
      </c>
      <c r="B40" s="78" t="s">
        <v>1125</v>
      </c>
      <c r="C40" s="78">
        <f t="shared" si="11"/>
        <v>3.9</v>
      </c>
      <c r="D40" s="82"/>
    </row>
    <row r="41" ht="15.75" customHeight="1">
      <c r="A41" s="78">
        <v>13.0</v>
      </c>
      <c r="B41" s="78" t="s">
        <v>1126</v>
      </c>
      <c r="C41" s="78">
        <f t="shared" si="11"/>
        <v>3.4</v>
      </c>
      <c r="D41" s="82"/>
    </row>
    <row r="42" ht="15.75" customHeight="1">
      <c r="A42" s="78">
        <v>14.0</v>
      </c>
      <c r="B42" s="78" t="s">
        <v>1127</v>
      </c>
      <c r="C42" s="78">
        <f t="shared" si="11"/>
        <v>3</v>
      </c>
      <c r="D42" s="82"/>
    </row>
    <row r="43" ht="15.75" customHeight="1">
      <c r="A43" s="78">
        <v>15.0</v>
      </c>
      <c r="B43" s="78" t="s">
        <v>1128</v>
      </c>
      <c r="C43" s="78">
        <f t="shared" si="11"/>
        <v>2.6</v>
      </c>
      <c r="D43" s="82"/>
    </row>
    <row r="44" ht="15.75" customHeight="1">
      <c r="A44" s="78">
        <v>16.0</v>
      </c>
      <c r="B44" s="78" t="s">
        <v>1129</v>
      </c>
      <c r="C44" s="78">
        <f t="shared" si="11"/>
        <v>2.1</v>
      </c>
      <c r="D44" s="82"/>
    </row>
    <row r="45" ht="15.75" customHeight="1">
      <c r="A45" s="78">
        <v>17.0</v>
      </c>
      <c r="B45" s="78" t="s">
        <v>1130</v>
      </c>
      <c r="C45" s="78">
        <f t="shared" si="11"/>
        <v>1.7</v>
      </c>
      <c r="D45" s="82"/>
    </row>
    <row r="46" ht="15.75" customHeight="1">
      <c r="A46" s="78">
        <v>18.0</v>
      </c>
      <c r="B46" s="78" t="s">
        <v>1133</v>
      </c>
      <c r="C46" s="78">
        <f t="shared" si="11"/>
        <v>1.3</v>
      </c>
      <c r="D46" s="82"/>
    </row>
    <row r="47" ht="15.75" customHeight="1">
      <c r="A47" s="78">
        <v>19.0</v>
      </c>
      <c r="B47" s="78" t="s">
        <v>1134</v>
      </c>
      <c r="C47" s="78">
        <f t="shared" si="11"/>
        <v>0.9</v>
      </c>
      <c r="D47" s="82"/>
    </row>
    <row r="48" ht="15.75" customHeight="1">
      <c r="A48" s="78">
        <v>20.0</v>
      </c>
      <c r="B48" s="78" t="s">
        <v>1135</v>
      </c>
      <c r="C48" s="78">
        <f t="shared" si="11"/>
        <v>0.4</v>
      </c>
      <c r="D48" s="82"/>
    </row>
    <row r="49" ht="15.75" customHeight="1">
      <c r="A49" s="78">
        <v>21.0</v>
      </c>
      <c r="B49" s="78" t="s">
        <v>1136</v>
      </c>
      <c r="C49" s="78">
        <f t="shared" si="11"/>
        <v>0</v>
      </c>
      <c r="D49" s="82"/>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3:AE3"/>
    <mergeCell ref="C6:AE6"/>
    <mergeCell ref="C7:AE7"/>
    <mergeCell ref="A13:I13"/>
    <mergeCell ref="J13:AD13"/>
  </mergeCells>
  <conditionalFormatting sqref="H15:H23">
    <cfRule type="expression" dxfId="0" priority="1">
      <formula>H15="Hecho"</formula>
    </cfRule>
  </conditionalFormatting>
  <conditionalFormatting sqref="H15:H23">
    <cfRule type="expression" dxfId="0" priority="2">
      <formula>H15="Aprobado"</formula>
    </cfRule>
  </conditionalFormatting>
  <conditionalFormatting sqref="H15:H23">
    <cfRule type="expression" dxfId="0" priority="3">
      <formula>H15="Cerrado"</formula>
    </cfRule>
  </conditionalFormatting>
  <conditionalFormatting sqref="H15:H23">
    <cfRule type="expression" dxfId="0" priority="4">
      <formula>H15="Implementado"</formula>
    </cfRule>
  </conditionalFormatting>
  <conditionalFormatting sqref="H15:H23">
    <cfRule type="expression" dxfId="0" priority="5">
      <formula>H15="Terminado"</formula>
    </cfRule>
  </conditionalFormatting>
  <conditionalFormatting sqref="H15:H23">
    <cfRule type="expression" dxfId="0" priority="6">
      <formula>H15="Aplicado"</formula>
    </cfRule>
  </conditionalFormatting>
  <conditionalFormatting sqref="H15:H23">
    <cfRule type="expression" dxfId="0" priority="7">
      <formula>H15="A"</formula>
    </cfRule>
  </conditionalFormatting>
  <conditionalFormatting sqref="H15:H23">
    <cfRule type="expression" dxfId="1" priority="8">
      <formula>H15="En curso"</formula>
    </cfRule>
  </conditionalFormatting>
  <conditionalFormatting sqref="H15:H23">
    <cfRule type="expression" dxfId="1" priority="9">
      <formula>H15="Pendiente"</formula>
    </cfRule>
  </conditionalFormatting>
  <conditionalFormatting sqref="H15:H23">
    <cfRule type="expression" dxfId="1" priority="10">
      <formula>H15="Corregido"</formula>
    </cfRule>
  </conditionalFormatting>
  <conditionalFormatting sqref="H15:H23">
    <cfRule type="expression" dxfId="1" priority="11">
      <formula>H15="En desarrollo"</formula>
    </cfRule>
  </conditionalFormatting>
  <conditionalFormatting sqref="H15:H23">
    <cfRule type="expression" dxfId="1" priority="12">
      <formula>H15="En evaluación"</formula>
    </cfRule>
  </conditionalFormatting>
  <conditionalFormatting sqref="H15:H23">
    <cfRule type="expression" dxfId="1" priority="13">
      <formula>H15="En ejecución"</formula>
    </cfRule>
  </conditionalFormatting>
  <conditionalFormatting sqref="H15:H23">
    <cfRule type="expression" dxfId="1" priority="14">
      <formula>H15="Prueba de concepto"</formula>
    </cfRule>
  </conditionalFormatting>
  <conditionalFormatting sqref="H15:H23">
    <cfRule type="expression" dxfId="2" priority="15">
      <formula>H15="Por hacer"</formula>
    </cfRule>
  </conditionalFormatting>
  <conditionalFormatting sqref="H15:H23">
    <cfRule type="expression" dxfId="2" priority="16">
      <formula>H15="Planificado"</formula>
    </cfRule>
  </conditionalFormatting>
  <conditionalFormatting sqref="H15:H23">
    <cfRule type="expression" dxfId="2" priority="17">
      <formula>H15="Diseñado"</formula>
    </cfRule>
  </conditionalFormatting>
  <conditionalFormatting sqref="H15:H23">
    <cfRule type="expression" dxfId="3" priority="18">
      <formula>H15="Fallido"</formula>
    </cfRule>
  </conditionalFormatting>
  <conditionalFormatting sqref="H15:H23">
    <cfRule type="expression" dxfId="3" priority="19">
      <formula>H15="Abierto"</formula>
    </cfRule>
  </conditionalFormatting>
  <conditionalFormatting sqref="H15:H23">
    <cfRule type="expression" dxfId="3" priority="20">
      <formula>H15="R"</formula>
    </cfRule>
  </conditionalFormatting>
  <conditionalFormatting sqref="H15:H23">
    <cfRule type="expression" dxfId="4" priority="21">
      <formula>H15="Anulado"</formula>
    </cfRule>
  </conditionalFormatting>
  <conditionalFormatting sqref="H15:H23">
    <cfRule type="expression" dxfId="4" priority="22">
      <formula>H15="Descartada"</formula>
    </cfRule>
  </conditionalFormatting>
  <conditionalFormatting sqref="H15:H23">
    <cfRule type="expression" dxfId="4" priority="23">
      <formula>H15="No aplica"</formula>
    </cfRule>
  </conditionalFormatting>
  <conditionalFormatting sqref="AE15:AE23">
    <cfRule type="expression" dxfId="0" priority="24">
      <formula>AE15="Hecho"</formula>
    </cfRule>
  </conditionalFormatting>
  <conditionalFormatting sqref="AE15:AE23">
    <cfRule type="expression" dxfId="0" priority="25">
      <formula>AE15="Aprobado"</formula>
    </cfRule>
  </conditionalFormatting>
  <conditionalFormatting sqref="AE15:AE23">
    <cfRule type="expression" dxfId="0" priority="26">
      <formula>AE15="Cerrado"</formula>
    </cfRule>
  </conditionalFormatting>
  <conditionalFormatting sqref="AE15:AE23">
    <cfRule type="expression" dxfId="0" priority="27">
      <formula>AE15="Implementado"</formula>
    </cfRule>
  </conditionalFormatting>
  <conditionalFormatting sqref="AE15:AE23">
    <cfRule type="expression" dxfId="0" priority="28">
      <formula>AE15="Terminado"</formula>
    </cfRule>
  </conditionalFormatting>
  <conditionalFormatting sqref="AE15:AE23">
    <cfRule type="expression" dxfId="0" priority="29">
      <formula>AE15="Aplicado"</formula>
    </cfRule>
  </conditionalFormatting>
  <conditionalFormatting sqref="AE15:AE23">
    <cfRule type="expression" dxfId="0" priority="30">
      <formula>AE15="A"</formula>
    </cfRule>
  </conditionalFormatting>
  <conditionalFormatting sqref="AE15:AE23">
    <cfRule type="expression" dxfId="1" priority="31">
      <formula>AE15="En curso"</formula>
    </cfRule>
  </conditionalFormatting>
  <conditionalFormatting sqref="AE15:AE23">
    <cfRule type="expression" dxfId="1" priority="32">
      <formula>AE15="Pendiente"</formula>
    </cfRule>
  </conditionalFormatting>
  <conditionalFormatting sqref="AE15:AE23">
    <cfRule type="expression" dxfId="1" priority="33">
      <formula>AE15="Corregido"</formula>
    </cfRule>
  </conditionalFormatting>
  <conditionalFormatting sqref="AE15:AE23">
    <cfRule type="expression" dxfId="1" priority="34">
      <formula>AE15="En desarrollo"</formula>
    </cfRule>
  </conditionalFormatting>
  <conditionalFormatting sqref="AE15:AE23">
    <cfRule type="expression" dxfId="1" priority="35">
      <formula>AE15="En evaluación"</formula>
    </cfRule>
  </conditionalFormatting>
  <conditionalFormatting sqref="AE15:AE23">
    <cfRule type="expression" dxfId="1" priority="36">
      <formula>AE15="En ejecución"</formula>
    </cfRule>
  </conditionalFormatting>
  <conditionalFormatting sqref="AE15:AE23">
    <cfRule type="expression" dxfId="1" priority="37">
      <formula>AE15="Prueba de concepto"</formula>
    </cfRule>
  </conditionalFormatting>
  <conditionalFormatting sqref="AE15:AE23">
    <cfRule type="expression" dxfId="2" priority="38">
      <formula>AE15="Por hacer"</formula>
    </cfRule>
  </conditionalFormatting>
  <conditionalFormatting sqref="AE15:AE23">
    <cfRule type="expression" dxfId="2" priority="39">
      <formula>AE15="Planificado"</formula>
    </cfRule>
  </conditionalFormatting>
  <conditionalFormatting sqref="AE15:AE23">
    <cfRule type="expression" dxfId="2" priority="40">
      <formula>AE15="Diseñado"</formula>
    </cfRule>
  </conditionalFormatting>
  <conditionalFormatting sqref="AE15:AE23">
    <cfRule type="expression" dxfId="3" priority="41">
      <formula>AE15="Fallido"</formula>
    </cfRule>
  </conditionalFormatting>
  <conditionalFormatting sqref="AE15:AE23">
    <cfRule type="expression" dxfId="3" priority="42">
      <formula>AE15="Abierto"</formula>
    </cfRule>
  </conditionalFormatting>
  <conditionalFormatting sqref="AE15:AE23">
    <cfRule type="expression" dxfId="3" priority="43">
      <formula>AE15="R"</formula>
    </cfRule>
  </conditionalFormatting>
  <conditionalFormatting sqref="AE15:AE23">
    <cfRule type="expression" dxfId="4" priority="44">
      <formula>AE15="Anulado"</formula>
    </cfRule>
  </conditionalFormatting>
  <conditionalFormatting sqref="AE15:AE23">
    <cfRule type="expression" dxfId="4" priority="45">
      <formula>AE15="Descartada"</formula>
    </cfRule>
  </conditionalFormatting>
  <conditionalFormatting sqref="AE15:AE23">
    <cfRule type="expression" dxfId="4" priority="46">
      <formula>AE15="No aplica"</formula>
    </cfRule>
  </conditionalFormatting>
  <conditionalFormatting sqref="J15:AD23">
    <cfRule type="expression" dxfId="0" priority="47">
      <formula>J15="✔"</formula>
    </cfRule>
  </conditionalFormatting>
  <dataValidations>
    <dataValidation type="list" allowBlank="1" sqref="AE15:AE23">
      <formula1>"A,R"</formula1>
    </dataValidation>
    <dataValidation type="list" allowBlank="1" sqref="H15:H23">
      <formula1>"Por hacer,En curso,Hecho,Descartada"</formula1>
    </dataValidation>
  </dataValidations>
  <printOptions/>
  <pageMargins bottom="0.5" footer="0.0" header="0.0" left="0.4" right="0.4" top="0.5"/>
  <pageSetup fitToHeight="0"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2.0" ySplit="14.0" topLeftCell="C15" activePane="bottomRight" state="frozen"/>
      <selection activeCell="C1" sqref="C1" pane="topRight"/>
      <selection activeCell="A15" sqref="A15" pane="bottomLeft"/>
      <selection activeCell="C15" sqref="C15" pane="bottomRight"/>
    </sheetView>
  </sheetViews>
  <sheetFormatPr customHeight="1" defaultColWidth="14.43" defaultRowHeight="15.0"/>
  <cols>
    <col customWidth="1" min="1" max="1" width="5.0"/>
    <col customWidth="1" min="2" max="2" width="46.0"/>
    <col customWidth="1" min="3" max="3" width="17.0"/>
    <col customWidth="1" min="4" max="4" width="22.43"/>
    <col customWidth="1" min="5" max="7" width="7.0"/>
    <col customWidth="1" min="8" max="8" width="14.43"/>
    <col customWidth="1" min="9" max="9" width="10.57"/>
    <col customWidth="1" min="10" max="19" width="3.71"/>
    <col customWidth="1" min="20" max="20" width="4.43"/>
    <col customWidth="1" min="21" max="21" width="7.0"/>
  </cols>
  <sheetData>
    <row r="1" ht="18.0" customHeight="1">
      <c r="A1" s="1" t="s">
        <v>1075</v>
      </c>
    </row>
    <row r="2">
      <c r="A2" s="2"/>
    </row>
    <row r="3" ht="16.5" customHeight="1">
      <c r="B3" s="56" t="s">
        <v>733</v>
      </c>
      <c r="C3" s="57" t="s">
        <v>765</v>
      </c>
      <c r="D3" s="20"/>
      <c r="E3" s="20"/>
      <c r="F3" s="20"/>
      <c r="G3" s="20"/>
      <c r="H3" s="20"/>
      <c r="I3" s="20"/>
      <c r="J3" s="20"/>
      <c r="K3" s="20"/>
      <c r="L3" s="20"/>
      <c r="M3" s="20"/>
      <c r="N3" s="20"/>
      <c r="O3" s="20"/>
      <c r="P3" s="20"/>
      <c r="Q3" s="20"/>
      <c r="R3" s="20"/>
      <c r="S3" s="20"/>
      <c r="T3" s="20"/>
      <c r="U3" s="21"/>
    </row>
    <row r="4" ht="16.5" customHeight="1">
      <c r="B4" s="56" t="s">
        <v>731</v>
      </c>
      <c r="C4" s="87">
        <v>46300.0</v>
      </c>
    </row>
    <row r="5" ht="16.5" customHeight="1">
      <c r="B5" s="56" t="s">
        <v>713</v>
      </c>
      <c r="C5" s="59">
        <f>IF(C4="","",C4+20)</f>
        <v>46320</v>
      </c>
    </row>
    <row r="6" ht="16.5" customHeight="1">
      <c r="B6" s="56" t="s">
        <v>781</v>
      </c>
      <c r="C6" s="60"/>
      <c r="D6" s="20"/>
      <c r="E6" s="20"/>
      <c r="F6" s="20"/>
      <c r="G6" s="20"/>
      <c r="H6" s="20"/>
      <c r="I6" s="20"/>
      <c r="J6" s="20"/>
      <c r="K6" s="20"/>
      <c r="L6" s="20"/>
      <c r="M6" s="20"/>
      <c r="N6" s="20"/>
      <c r="O6" s="20"/>
      <c r="P6" s="20"/>
      <c r="Q6" s="20"/>
      <c r="R6" s="20"/>
      <c r="S6" s="20"/>
      <c r="T6" s="20"/>
      <c r="U6" s="21"/>
    </row>
    <row r="7" ht="16.5" customHeight="1">
      <c r="B7" s="56" t="s">
        <v>782</v>
      </c>
      <c r="C7" s="57" t="s">
        <v>1076</v>
      </c>
      <c r="D7" s="20"/>
      <c r="E7" s="20"/>
      <c r="F7" s="20"/>
      <c r="G7" s="20"/>
      <c r="H7" s="20"/>
      <c r="I7" s="20"/>
      <c r="J7" s="20"/>
      <c r="K7" s="20"/>
      <c r="L7" s="20"/>
      <c r="M7" s="20"/>
      <c r="N7" s="20"/>
      <c r="O7" s="20"/>
      <c r="P7" s="20"/>
      <c r="Q7" s="20"/>
      <c r="R7" s="20"/>
      <c r="S7" s="20"/>
      <c r="T7" s="20"/>
      <c r="U7" s="21"/>
    </row>
    <row r="8" ht="16.5" customHeight="1">
      <c r="B8" s="56" t="s">
        <v>785</v>
      </c>
      <c r="C8" s="62">
        <f>ROUND(3*10*11/7,0)</f>
        <v>47</v>
      </c>
    </row>
    <row r="9" ht="16.5" customHeight="1">
      <c r="B9" s="56" t="s">
        <v>788</v>
      </c>
      <c r="C9" s="62">
        <f>SUM(E15:E22)</f>
        <v>37</v>
      </c>
    </row>
    <row r="10" ht="16.5" customHeight="1">
      <c r="B10" s="56" t="s">
        <v>789</v>
      </c>
      <c r="C10" s="62">
        <f>COUNTIF(G15:G22,C4)</f>
        <v>0</v>
      </c>
    </row>
    <row r="11" ht="16.5" customHeight="1">
      <c r="B11" s="56" t="s">
        <v>790</v>
      </c>
      <c r="C11" s="63"/>
    </row>
    <row r="13" ht="18.0" customHeight="1">
      <c r="A13" s="14" t="s">
        <v>792</v>
      </c>
      <c r="B13" s="15"/>
      <c r="C13" s="15"/>
      <c r="D13" s="15"/>
      <c r="E13" s="15"/>
      <c r="F13" s="15"/>
      <c r="G13" s="15"/>
      <c r="H13" s="15"/>
      <c r="I13" s="17"/>
      <c r="J13" s="14" t="s">
        <v>793</v>
      </c>
      <c r="K13" s="15"/>
      <c r="L13" s="15"/>
      <c r="M13" s="15"/>
      <c r="N13" s="15"/>
      <c r="O13" s="15"/>
      <c r="P13" s="15"/>
      <c r="Q13" s="15"/>
      <c r="R13" s="15"/>
      <c r="S13" s="15"/>
      <c r="T13" s="17"/>
      <c r="U13" s="65" t="s">
        <v>794</v>
      </c>
    </row>
    <row r="14" ht="39.75" customHeight="1">
      <c r="A14" s="18" t="s">
        <v>619</v>
      </c>
      <c r="B14" s="18" t="s">
        <v>742</v>
      </c>
      <c r="C14" s="18" t="s">
        <v>795</v>
      </c>
      <c r="D14" s="18" t="s">
        <v>97</v>
      </c>
      <c r="E14" s="18" t="s">
        <v>796</v>
      </c>
      <c r="F14" s="18" t="s">
        <v>797</v>
      </c>
      <c r="G14" s="18" t="s">
        <v>559</v>
      </c>
      <c r="H14" s="18" t="s">
        <v>339</v>
      </c>
      <c r="I14" s="18" t="s">
        <v>713</v>
      </c>
      <c r="J14" s="66">
        <f>IF($C$4="","",$C$4+0)</f>
        <v>46300</v>
      </c>
      <c r="K14" s="66">
        <f>IF($C$4="","",$C$4+1)</f>
        <v>46301</v>
      </c>
      <c r="L14" s="66">
        <f>IF($C$4="","",$C$4+2)</f>
        <v>46302</v>
      </c>
      <c r="M14" s="66">
        <f>IF($C$4="","",$C$4+3)</f>
        <v>46303</v>
      </c>
      <c r="N14" s="66">
        <f>IF($C$4="","",$C$4+4)</f>
        <v>46304</v>
      </c>
      <c r="O14" s="66">
        <f>IF($C$4="","",$C$4+5)</f>
        <v>46305</v>
      </c>
      <c r="P14" s="66">
        <f>IF($C$4="","",$C$4+6)</f>
        <v>46306</v>
      </c>
      <c r="Q14" s="66">
        <f>IF($C$4="","",$C$4+7)</f>
        <v>46307</v>
      </c>
      <c r="R14" s="66">
        <f>IF($C$4="","",$C$4+8)</f>
        <v>46308</v>
      </c>
      <c r="S14" s="66">
        <f>IF($C$4="","",$C$4+9)</f>
        <v>46309</v>
      </c>
      <c r="T14" s="66">
        <f>IF($C$4="","",$C$4+10)</f>
        <v>46310</v>
      </c>
      <c r="U14" s="18" t="s">
        <v>799</v>
      </c>
    </row>
    <row r="15" ht="30.75" customHeight="1">
      <c r="A15" s="16">
        <v>1.0</v>
      </c>
      <c r="B15" s="6" t="s">
        <v>1090</v>
      </c>
      <c r="C15" s="6" t="s">
        <v>205</v>
      </c>
      <c r="D15" s="6" t="s">
        <v>19</v>
      </c>
      <c r="E15" s="8">
        <v>5.0</v>
      </c>
      <c r="F15" s="67"/>
      <c r="G15" s="68">
        <v>46320.0</v>
      </c>
      <c r="H15" s="16" t="s">
        <v>418</v>
      </c>
      <c r="I15" s="68"/>
      <c r="J15" s="16" t="str">
        <f t="shared" ref="J15:T15" si="1">IF($I15=J$14,"✔","")</f>
        <v/>
      </c>
      <c r="K15" s="16" t="str">
        <f t="shared" si="1"/>
        <v/>
      </c>
      <c r="L15" s="16" t="str">
        <f t="shared" si="1"/>
        <v/>
      </c>
      <c r="M15" s="16" t="str">
        <f t="shared" si="1"/>
        <v/>
      </c>
      <c r="N15" s="16" t="str">
        <f t="shared" si="1"/>
        <v/>
      </c>
      <c r="O15" s="16" t="str">
        <f t="shared" si="1"/>
        <v/>
      </c>
      <c r="P15" s="16" t="str">
        <f t="shared" si="1"/>
        <v/>
      </c>
      <c r="Q15" s="16" t="str">
        <f t="shared" si="1"/>
        <v/>
      </c>
      <c r="R15" s="16" t="str">
        <f t="shared" si="1"/>
        <v/>
      </c>
      <c r="S15" s="16" t="str">
        <f t="shared" si="1"/>
        <v/>
      </c>
      <c r="T15" s="16" t="str">
        <f t="shared" si="1"/>
        <v/>
      </c>
      <c r="U15" s="67"/>
    </row>
    <row r="16" ht="30.75" customHeight="1">
      <c r="A16" s="24">
        <v>2.0</v>
      </c>
      <c r="B16" s="11" t="s">
        <v>1096</v>
      </c>
      <c r="C16" s="11" t="s">
        <v>205</v>
      </c>
      <c r="D16" s="11" t="s">
        <v>19</v>
      </c>
      <c r="E16" s="13">
        <v>5.0</v>
      </c>
      <c r="F16" s="67"/>
      <c r="G16" s="89">
        <v>46302.0</v>
      </c>
      <c r="H16" s="73" t="s">
        <v>375</v>
      </c>
      <c r="I16" s="89">
        <v>46302.0</v>
      </c>
      <c r="J16" s="24" t="str">
        <f t="shared" ref="J16:T16" si="2">IF($I16=J$14,"✔","")</f>
        <v/>
      </c>
      <c r="K16" s="24" t="str">
        <f t="shared" si="2"/>
        <v/>
      </c>
      <c r="L16" s="24" t="str">
        <f t="shared" si="2"/>
        <v>✔</v>
      </c>
      <c r="M16" s="24" t="str">
        <f t="shared" si="2"/>
        <v/>
      </c>
      <c r="N16" s="24" t="str">
        <f t="shared" si="2"/>
        <v/>
      </c>
      <c r="O16" s="24" t="str">
        <f t="shared" si="2"/>
        <v/>
      </c>
      <c r="P16" s="24" t="str">
        <f t="shared" si="2"/>
        <v/>
      </c>
      <c r="Q16" s="24" t="str">
        <f t="shared" si="2"/>
        <v/>
      </c>
      <c r="R16" s="24" t="str">
        <f t="shared" si="2"/>
        <v/>
      </c>
      <c r="S16" s="24" t="str">
        <f t="shared" si="2"/>
        <v/>
      </c>
      <c r="T16" s="24" t="str">
        <f t="shared" si="2"/>
        <v/>
      </c>
      <c r="U16" s="67"/>
    </row>
    <row r="17" ht="17.25" customHeight="1">
      <c r="A17" s="16">
        <v>3.0</v>
      </c>
      <c r="B17" s="6" t="s">
        <v>1101</v>
      </c>
      <c r="C17" s="6" t="s">
        <v>205</v>
      </c>
      <c r="D17" s="6" t="s">
        <v>19</v>
      </c>
      <c r="E17" s="8">
        <v>4.0</v>
      </c>
      <c r="F17" s="67"/>
      <c r="G17" s="68">
        <v>46320.0</v>
      </c>
      <c r="H17" s="16" t="s">
        <v>418</v>
      </c>
      <c r="I17" s="68"/>
      <c r="J17" s="16" t="str">
        <f t="shared" ref="J17:T17" si="3">IF($I17=J$14,"✔","")</f>
        <v/>
      </c>
      <c r="K17" s="16" t="str">
        <f t="shared" si="3"/>
        <v/>
      </c>
      <c r="L17" s="16" t="str">
        <f t="shared" si="3"/>
        <v/>
      </c>
      <c r="M17" s="16" t="str">
        <f t="shared" si="3"/>
        <v/>
      </c>
      <c r="N17" s="16" t="str">
        <f t="shared" si="3"/>
        <v/>
      </c>
      <c r="O17" s="16" t="str">
        <f t="shared" si="3"/>
        <v/>
      </c>
      <c r="P17" s="16" t="str">
        <f t="shared" si="3"/>
        <v/>
      </c>
      <c r="Q17" s="16" t="str">
        <f t="shared" si="3"/>
        <v/>
      </c>
      <c r="R17" s="16" t="str">
        <f t="shared" si="3"/>
        <v/>
      </c>
      <c r="S17" s="16" t="str">
        <f t="shared" si="3"/>
        <v/>
      </c>
      <c r="T17" s="16" t="str">
        <f t="shared" si="3"/>
        <v/>
      </c>
      <c r="U17" s="67"/>
    </row>
    <row r="18" ht="30.75" customHeight="1">
      <c r="A18" s="24">
        <v>4.0</v>
      </c>
      <c r="B18" s="11" t="s">
        <v>1103</v>
      </c>
      <c r="C18" s="11" t="s">
        <v>521</v>
      </c>
      <c r="D18" s="11" t="s">
        <v>30</v>
      </c>
      <c r="E18" s="13">
        <v>6.0</v>
      </c>
      <c r="F18" s="67"/>
      <c r="G18" s="70">
        <v>46320.0</v>
      </c>
      <c r="H18" s="24" t="s">
        <v>418</v>
      </c>
      <c r="I18" s="70"/>
      <c r="J18" s="24" t="str">
        <f t="shared" ref="J18:T18" si="4">IF($I18=J$14,"✔","")</f>
        <v/>
      </c>
      <c r="K18" s="24" t="str">
        <f t="shared" si="4"/>
        <v/>
      </c>
      <c r="L18" s="24" t="str">
        <f t="shared" si="4"/>
        <v/>
      </c>
      <c r="M18" s="24" t="str">
        <f t="shared" si="4"/>
        <v/>
      </c>
      <c r="N18" s="24" t="str">
        <f t="shared" si="4"/>
        <v/>
      </c>
      <c r="O18" s="24" t="str">
        <f t="shared" si="4"/>
        <v/>
      </c>
      <c r="P18" s="24" t="str">
        <f t="shared" si="4"/>
        <v/>
      </c>
      <c r="Q18" s="24" t="str">
        <f t="shared" si="4"/>
        <v/>
      </c>
      <c r="R18" s="24" t="str">
        <f t="shared" si="4"/>
        <v/>
      </c>
      <c r="S18" s="24" t="str">
        <f t="shared" si="4"/>
        <v/>
      </c>
      <c r="T18" s="24" t="str">
        <f t="shared" si="4"/>
        <v/>
      </c>
      <c r="U18" s="67"/>
    </row>
    <row r="19" ht="17.25" customHeight="1">
      <c r="A19" s="16">
        <v>5.0</v>
      </c>
      <c r="B19" s="6" t="s">
        <v>1105</v>
      </c>
      <c r="C19" s="6" t="s">
        <v>1108</v>
      </c>
      <c r="D19" s="6" t="s">
        <v>39</v>
      </c>
      <c r="E19" s="8">
        <v>4.0</v>
      </c>
      <c r="F19" s="67"/>
      <c r="G19" s="68">
        <v>46320.0</v>
      </c>
      <c r="H19" s="16" t="s">
        <v>418</v>
      </c>
      <c r="I19" s="68"/>
      <c r="J19" s="16" t="str">
        <f t="shared" ref="J19:T19" si="5">IF($I19=J$14,"✔","")</f>
        <v/>
      </c>
      <c r="K19" s="16" t="str">
        <f t="shared" si="5"/>
        <v/>
      </c>
      <c r="L19" s="16" t="str">
        <f t="shared" si="5"/>
        <v/>
      </c>
      <c r="M19" s="16" t="str">
        <f t="shared" si="5"/>
        <v/>
      </c>
      <c r="N19" s="16" t="str">
        <f t="shared" si="5"/>
        <v/>
      </c>
      <c r="O19" s="16" t="str">
        <f t="shared" si="5"/>
        <v/>
      </c>
      <c r="P19" s="16" t="str">
        <f t="shared" si="5"/>
        <v/>
      </c>
      <c r="Q19" s="16" t="str">
        <f t="shared" si="5"/>
        <v/>
      </c>
      <c r="R19" s="16" t="str">
        <f t="shared" si="5"/>
        <v/>
      </c>
      <c r="S19" s="16" t="str">
        <f t="shared" si="5"/>
        <v/>
      </c>
      <c r="T19" s="16" t="str">
        <f t="shared" si="5"/>
        <v/>
      </c>
      <c r="U19" s="67"/>
    </row>
    <row r="20" ht="30.75" customHeight="1">
      <c r="A20" s="24">
        <v>6.0</v>
      </c>
      <c r="B20" s="11" t="s">
        <v>1112</v>
      </c>
      <c r="C20" s="11" t="s">
        <v>1113</v>
      </c>
      <c r="D20" s="11" t="s">
        <v>39</v>
      </c>
      <c r="E20" s="13">
        <v>5.0</v>
      </c>
      <c r="F20" s="67"/>
      <c r="G20" s="70">
        <v>46320.0</v>
      </c>
      <c r="H20" s="24" t="s">
        <v>418</v>
      </c>
      <c r="I20" s="70"/>
      <c r="J20" s="24" t="str">
        <f t="shared" ref="J20:T20" si="6">IF($I20=J$14,"✔","")</f>
        <v/>
      </c>
      <c r="K20" s="24" t="str">
        <f t="shared" si="6"/>
        <v/>
      </c>
      <c r="L20" s="24" t="str">
        <f t="shared" si="6"/>
        <v/>
      </c>
      <c r="M20" s="24" t="str">
        <f t="shared" si="6"/>
        <v/>
      </c>
      <c r="N20" s="24" t="str">
        <f t="shared" si="6"/>
        <v/>
      </c>
      <c r="O20" s="24" t="str">
        <f t="shared" si="6"/>
        <v/>
      </c>
      <c r="P20" s="24" t="str">
        <f t="shared" si="6"/>
        <v/>
      </c>
      <c r="Q20" s="24" t="str">
        <f t="shared" si="6"/>
        <v/>
      </c>
      <c r="R20" s="24" t="str">
        <f t="shared" si="6"/>
        <v/>
      </c>
      <c r="S20" s="24" t="str">
        <f t="shared" si="6"/>
        <v/>
      </c>
      <c r="T20" s="24" t="str">
        <f t="shared" si="6"/>
        <v/>
      </c>
      <c r="U20" s="67"/>
    </row>
    <row r="21" ht="17.25" customHeight="1">
      <c r="A21" s="16">
        <v>7.0</v>
      </c>
      <c r="B21" s="6" t="s">
        <v>1118</v>
      </c>
      <c r="C21" s="6" t="s">
        <v>596</v>
      </c>
      <c r="D21" s="6" t="s">
        <v>39</v>
      </c>
      <c r="E21" s="8">
        <v>5.0</v>
      </c>
      <c r="F21" s="67"/>
      <c r="G21" s="68">
        <v>46320.0</v>
      </c>
      <c r="H21" s="16" t="s">
        <v>418</v>
      </c>
      <c r="I21" s="68"/>
      <c r="J21" s="16" t="str">
        <f t="shared" ref="J21:T21" si="7">IF($I21=J$14,"✔","")</f>
        <v/>
      </c>
      <c r="K21" s="16" t="str">
        <f t="shared" si="7"/>
        <v/>
      </c>
      <c r="L21" s="16" t="str">
        <f t="shared" si="7"/>
        <v/>
      </c>
      <c r="M21" s="16" t="str">
        <f t="shared" si="7"/>
        <v/>
      </c>
      <c r="N21" s="16" t="str">
        <f t="shared" si="7"/>
        <v/>
      </c>
      <c r="O21" s="16" t="str">
        <f t="shared" si="7"/>
        <v/>
      </c>
      <c r="P21" s="16" t="str">
        <f t="shared" si="7"/>
        <v/>
      </c>
      <c r="Q21" s="16" t="str">
        <f t="shared" si="7"/>
        <v/>
      </c>
      <c r="R21" s="16" t="str">
        <f t="shared" si="7"/>
        <v/>
      </c>
      <c r="S21" s="16" t="str">
        <f t="shared" si="7"/>
        <v/>
      </c>
      <c r="T21" s="16" t="str">
        <f t="shared" si="7"/>
        <v/>
      </c>
      <c r="U21" s="67"/>
    </row>
    <row r="22" ht="17.25" customHeight="1">
      <c r="A22" s="24">
        <v>8.0</v>
      </c>
      <c r="B22" s="11" t="s">
        <v>1120</v>
      </c>
      <c r="C22" s="11" t="s">
        <v>1107</v>
      </c>
      <c r="D22" s="11" t="s">
        <v>30</v>
      </c>
      <c r="E22" s="13">
        <v>3.0</v>
      </c>
      <c r="F22" s="67"/>
      <c r="G22" s="70">
        <v>46320.0</v>
      </c>
      <c r="H22" s="24" t="s">
        <v>418</v>
      </c>
      <c r="I22" s="70"/>
      <c r="J22" s="24" t="str">
        <f t="shared" ref="J22:T22" si="8">IF($I22=J$14,"✔","")</f>
        <v/>
      </c>
      <c r="K22" s="24" t="str">
        <f t="shared" si="8"/>
        <v/>
      </c>
      <c r="L22" s="24" t="str">
        <f t="shared" si="8"/>
        <v/>
      </c>
      <c r="M22" s="24" t="str">
        <f t="shared" si="8"/>
        <v/>
      </c>
      <c r="N22" s="24" t="str">
        <f t="shared" si="8"/>
        <v/>
      </c>
      <c r="O22" s="24" t="str">
        <f t="shared" si="8"/>
        <v/>
      </c>
      <c r="P22" s="24" t="str">
        <f t="shared" si="8"/>
        <v/>
      </c>
      <c r="Q22" s="24" t="str">
        <f t="shared" si="8"/>
        <v/>
      </c>
      <c r="R22" s="24" t="str">
        <f t="shared" si="8"/>
        <v/>
      </c>
      <c r="S22" s="24" t="str">
        <f t="shared" si="8"/>
        <v/>
      </c>
      <c r="T22" s="24" t="str">
        <f t="shared" si="8"/>
        <v/>
      </c>
      <c r="U22" s="67"/>
    </row>
    <row r="23" ht="15.75" customHeight="1">
      <c r="A23" s="74"/>
      <c r="B23" s="74" t="s">
        <v>260</v>
      </c>
      <c r="C23" s="74"/>
      <c r="D23" s="74"/>
      <c r="E23" s="75">
        <f t="shared" ref="E23:F23" si="9">SUM(E15:E22)</f>
        <v>37</v>
      </c>
      <c r="F23" s="75">
        <f t="shared" si="9"/>
        <v>0</v>
      </c>
      <c r="G23" s="74"/>
      <c r="H23" s="75" t="str">
        <f>COUNTIF(H15:H22,"Hecho")&amp;" hechas"</f>
        <v>1 hechas</v>
      </c>
      <c r="I23" s="74"/>
      <c r="J23" s="74"/>
      <c r="K23" s="74"/>
      <c r="L23" s="74"/>
      <c r="M23" s="74"/>
      <c r="N23" s="74"/>
      <c r="O23" s="74"/>
      <c r="P23" s="74"/>
      <c r="Q23" s="74"/>
      <c r="R23" s="74"/>
      <c r="S23" s="74"/>
      <c r="T23" s="74"/>
      <c r="U23" s="74"/>
    </row>
    <row r="24" ht="15.75" customHeight="1"/>
    <row r="25" ht="18.0" customHeight="1">
      <c r="A25" s="27" t="s">
        <v>830</v>
      </c>
    </row>
    <row r="26" ht="27.75" customHeight="1">
      <c r="A26" s="76" t="s">
        <v>834</v>
      </c>
      <c r="B26" s="76" t="s">
        <v>836</v>
      </c>
      <c r="C26" s="76" t="s">
        <v>837</v>
      </c>
      <c r="D26" s="76" t="s">
        <v>838</v>
      </c>
    </row>
    <row r="27" ht="15.75" customHeight="1">
      <c r="A27" s="78">
        <v>0.0</v>
      </c>
      <c r="B27" s="78" t="s">
        <v>840</v>
      </c>
      <c r="C27" s="78" t="str">
        <f t="shared" ref="C27:C38" si="10">IF($C$10=0,"",ROUND($C$10-$C$10*A27/11,1))</f>
        <v/>
      </c>
      <c r="D27" s="78">
        <v>8.0</v>
      </c>
    </row>
    <row r="28" ht="15.75" customHeight="1">
      <c r="A28" s="78">
        <v>1.0</v>
      </c>
      <c r="B28" s="78" t="s">
        <v>1137</v>
      </c>
      <c r="C28" s="78" t="str">
        <f t="shared" si="10"/>
        <v/>
      </c>
      <c r="D28" s="82"/>
    </row>
    <row r="29" ht="15.75" customHeight="1">
      <c r="A29" s="78">
        <v>2.0</v>
      </c>
      <c r="B29" s="78" t="s">
        <v>1139</v>
      </c>
      <c r="C29" s="78" t="str">
        <f t="shared" si="10"/>
        <v/>
      </c>
      <c r="D29" s="82"/>
    </row>
    <row r="30" ht="15.75" customHeight="1">
      <c r="A30" s="78">
        <v>3.0</v>
      </c>
      <c r="B30" s="78" t="s">
        <v>1140</v>
      </c>
      <c r="C30" s="78" t="str">
        <f t="shared" si="10"/>
        <v/>
      </c>
      <c r="D30" s="82"/>
    </row>
    <row r="31" ht="15.75" customHeight="1">
      <c r="A31" s="78">
        <v>4.0</v>
      </c>
      <c r="B31" s="78" t="s">
        <v>1141</v>
      </c>
      <c r="C31" s="78" t="str">
        <f t="shared" si="10"/>
        <v/>
      </c>
      <c r="D31" s="82"/>
    </row>
    <row r="32" ht="15.75" customHeight="1">
      <c r="A32" s="78">
        <v>5.0</v>
      </c>
      <c r="B32" s="78" t="s">
        <v>1142</v>
      </c>
      <c r="C32" s="78" t="str">
        <f t="shared" si="10"/>
        <v/>
      </c>
      <c r="D32" s="82"/>
    </row>
    <row r="33" ht="15.75" customHeight="1">
      <c r="A33" s="78">
        <v>6.0</v>
      </c>
      <c r="B33" s="78" t="s">
        <v>1143</v>
      </c>
      <c r="C33" s="78" t="str">
        <f t="shared" si="10"/>
        <v/>
      </c>
      <c r="D33" s="82"/>
    </row>
    <row r="34" ht="15.75" customHeight="1">
      <c r="A34" s="78">
        <v>7.0</v>
      </c>
      <c r="B34" s="78" t="s">
        <v>1144</v>
      </c>
      <c r="C34" s="78" t="str">
        <f t="shared" si="10"/>
        <v/>
      </c>
      <c r="D34" s="82"/>
    </row>
    <row r="35" ht="15.75" customHeight="1">
      <c r="A35" s="78">
        <v>8.0</v>
      </c>
      <c r="B35" s="78" t="s">
        <v>1145</v>
      </c>
      <c r="C35" s="78" t="str">
        <f t="shared" si="10"/>
        <v/>
      </c>
      <c r="D35" s="82"/>
    </row>
    <row r="36" ht="15.75" customHeight="1">
      <c r="A36" s="78">
        <v>9.0</v>
      </c>
      <c r="B36" s="78" t="s">
        <v>1146</v>
      </c>
      <c r="C36" s="78" t="str">
        <f t="shared" si="10"/>
        <v/>
      </c>
      <c r="D36" s="82"/>
    </row>
    <row r="37" ht="15.75" customHeight="1">
      <c r="A37" s="78">
        <v>10.0</v>
      </c>
      <c r="B37" s="78" t="s">
        <v>1148</v>
      </c>
      <c r="C37" s="78" t="str">
        <f t="shared" si="10"/>
        <v/>
      </c>
      <c r="D37" s="82"/>
    </row>
    <row r="38" ht="15.75" customHeight="1">
      <c r="A38" s="78">
        <v>11.0</v>
      </c>
      <c r="B38" s="78" t="s">
        <v>1149</v>
      </c>
      <c r="C38" s="78" t="str">
        <f t="shared" si="10"/>
        <v/>
      </c>
      <c r="D38" s="82"/>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C3:U3"/>
    <mergeCell ref="C6:U6"/>
    <mergeCell ref="C7:U7"/>
    <mergeCell ref="A13:I13"/>
    <mergeCell ref="J13:T13"/>
  </mergeCells>
  <conditionalFormatting sqref="H15:H22">
    <cfRule type="expression" dxfId="0" priority="1">
      <formula>H15="Hecho"</formula>
    </cfRule>
  </conditionalFormatting>
  <conditionalFormatting sqref="H15:H22">
    <cfRule type="expression" dxfId="0" priority="2">
      <formula>H15="Aprobado"</formula>
    </cfRule>
  </conditionalFormatting>
  <conditionalFormatting sqref="H15:H22">
    <cfRule type="expression" dxfId="0" priority="3">
      <formula>H15="Cerrado"</formula>
    </cfRule>
  </conditionalFormatting>
  <conditionalFormatting sqref="H15:H22">
    <cfRule type="expression" dxfId="0" priority="4">
      <formula>H15="Implementado"</formula>
    </cfRule>
  </conditionalFormatting>
  <conditionalFormatting sqref="H15:H22">
    <cfRule type="expression" dxfId="0" priority="5">
      <formula>H15="Terminado"</formula>
    </cfRule>
  </conditionalFormatting>
  <conditionalFormatting sqref="H15:H22">
    <cfRule type="expression" dxfId="0" priority="6">
      <formula>H15="Aplicado"</formula>
    </cfRule>
  </conditionalFormatting>
  <conditionalFormatting sqref="H15:H22">
    <cfRule type="expression" dxfId="0" priority="7">
      <formula>H15="A"</formula>
    </cfRule>
  </conditionalFormatting>
  <conditionalFormatting sqref="H15:H22">
    <cfRule type="expression" dxfId="1" priority="8">
      <formula>H15="En curso"</formula>
    </cfRule>
  </conditionalFormatting>
  <conditionalFormatting sqref="H15:H22">
    <cfRule type="expression" dxfId="1" priority="9">
      <formula>H15="Pendiente"</formula>
    </cfRule>
  </conditionalFormatting>
  <conditionalFormatting sqref="H15:H22">
    <cfRule type="expression" dxfId="1" priority="10">
      <formula>H15="Corregido"</formula>
    </cfRule>
  </conditionalFormatting>
  <conditionalFormatting sqref="H15:H22">
    <cfRule type="expression" dxfId="1" priority="11">
      <formula>H15="En desarrollo"</formula>
    </cfRule>
  </conditionalFormatting>
  <conditionalFormatting sqref="H15:H22">
    <cfRule type="expression" dxfId="1" priority="12">
      <formula>H15="En evaluación"</formula>
    </cfRule>
  </conditionalFormatting>
  <conditionalFormatting sqref="H15:H22">
    <cfRule type="expression" dxfId="1" priority="13">
      <formula>H15="En ejecución"</formula>
    </cfRule>
  </conditionalFormatting>
  <conditionalFormatting sqref="H15:H22">
    <cfRule type="expression" dxfId="1" priority="14">
      <formula>H15="Prueba de concepto"</formula>
    </cfRule>
  </conditionalFormatting>
  <conditionalFormatting sqref="H15:H22">
    <cfRule type="expression" dxfId="2" priority="15">
      <formula>H15="Por hacer"</formula>
    </cfRule>
  </conditionalFormatting>
  <conditionalFormatting sqref="H15:H22">
    <cfRule type="expression" dxfId="2" priority="16">
      <formula>H15="Planificado"</formula>
    </cfRule>
  </conditionalFormatting>
  <conditionalFormatting sqref="H15:H22">
    <cfRule type="expression" dxfId="2" priority="17">
      <formula>H15="Diseñado"</formula>
    </cfRule>
  </conditionalFormatting>
  <conditionalFormatting sqref="H15:H22">
    <cfRule type="expression" dxfId="3" priority="18">
      <formula>H15="Fallido"</formula>
    </cfRule>
  </conditionalFormatting>
  <conditionalFormatting sqref="H15:H22">
    <cfRule type="expression" dxfId="3" priority="19">
      <formula>H15="Abierto"</formula>
    </cfRule>
  </conditionalFormatting>
  <conditionalFormatting sqref="H15:H22">
    <cfRule type="expression" dxfId="3" priority="20">
      <formula>H15="R"</formula>
    </cfRule>
  </conditionalFormatting>
  <conditionalFormatting sqref="H15:H22">
    <cfRule type="expression" dxfId="4" priority="21">
      <formula>H15="Anulado"</formula>
    </cfRule>
  </conditionalFormatting>
  <conditionalFormatting sqref="H15:H22">
    <cfRule type="expression" dxfId="4" priority="22">
      <formula>H15="Descartada"</formula>
    </cfRule>
  </conditionalFormatting>
  <conditionalFormatting sqref="H15:H22">
    <cfRule type="expression" dxfId="4" priority="23">
      <formula>H15="No aplica"</formula>
    </cfRule>
  </conditionalFormatting>
  <conditionalFormatting sqref="U15:U22">
    <cfRule type="expression" dxfId="0" priority="24">
      <formula>U15="Hecho"</formula>
    </cfRule>
  </conditionalFormatting>
  <conditionalFormatting sqref="U15:U22">
    <cfRule type="expression" dxfId="0" priority="25">
      <formula>U15="Aprobado"</formula>
    </cfRule>
  </conditionalFormatting>
  <conditionalFormatting sqref="U15:U22">
    <cfRule type="expression" dxfId="0" priority="26">
      <formula>U15="Cerrado"</formula>
    </cfRule>
  </conditionalFormatting>
  <conditionalFormatting sqref="U15:U22">
    <cfRule type="expression" dxfId="0" priority="27">
      <formula>U15="Implementado"</formula>
    </cfRule>
  </conditionalFormatting>
  <conditionalFormatting sqref="U15:U22">
    <cfRule type="expression" dxfId="0" priority="28">
      <formula>U15="Terminado"</formula>
    </cfRule>
  </conditionalFormatting>
  <conditionalFormatting sqref="U15:U22">
    <cfRule type="expression" dxfId="0" priority="29">
      <formula>U15="Aplicado"</formula>
    </cfRule>
  </conditionalFormatting>
  <conditionalFormatting sqref="U15:U22">
    <cfRule type="expression" dxfId="0" priority="30">
      <formula>U15="A"</formula>
    </cfRule>
  </conditionalFormatting>
  <conditionalFormatting sqref="U15:U22">
    <cfRule type="expression" dxfId="1" priority="31">
      <formula>U15="En curso"</formula>
    </cfRule>
  </conditionalFormatting>
  <conditionalFormatting sqref="U15:U22">
    <cfRule type="expression" dxfId="1" priority="32">
      <formula>U15="Pendiente"</formula>
    </cfRule>
  </conditionalFormatting>
  <conditionalFormatting sqref="U15:U22">
    <cfRule type="expression" dxfId="1" priority="33">
      <formula>U15="Corregido"</formula>
    </cfRule>
  </conditionalFormatting>
  <conditionalFormatting sqref="U15:U22">
    <cfRule type="expression" dxfId="1" priority="34">
      <formula>U15="En desarrollo"</formula>
    </cfRule>
  </conditionalFormatting>
  <conditionalFormatting sqref="U15:U22">
    <cfRule type="expression" dxfId="1" priority="35">
      <formula>U15="En evaluación"</formula>
    </cfRule>
  </conditionalFormatting>
  <conditionalFormatting sqref="U15:U22">
    <cfRule type="expression" dxfId="1" priority="36">
      <formula>U15="En ejecución"</formula>
    </cfRule>
  </conditionalFormatting>
  <conditionalFormatting sqref="U15:U22">
    <cfRule type="expression" dxfId="1" priority="37">
      <formula>U15="Prueba de concepto"</formula>
    </cfRule>
  </conditionalFormatting>
  <conditionalFormatting sqref="U15:U22">
    <cfRule type="expression" dxfId="2" priority="38">
      <formula>U15="Por hacer"</formula>
    </cfRule>
  </conditionalFormatting>
  <conditionalFormatting sqref="U15:U22">
    <cfRule type="expression" dxfId="2" priority="39">
      <formula>U15="Planificado"</formula>
    </cfRule>
  </conditionalFormatting>
  <conditionalFormatting sqref="U15:U22">
    <cfRule type="expression" dxfId="2" priority="40">
      <formula>U15="Diseñado"</formula>
    </cfRule>
  </conditionalFormatting>
  <conditionalFormatting sqref="U15:U22">
    <cfRule type="expression" dxfId="3" priority="41">
      <formula>U15="Fallido"</formula>
    </cfRule>
  </conditionalFormatting>
  <conditionalFormatting sqref="U15:U22">
    <cfRule type="expression" dxfId="3" priority="42">
      <formula>U15="Abierto"</formula>
    </cfRule>
  </conditionalFormatting>
  <conditionalFormatting sqref="U15:U22">
    <cfRule type="expression" dxfId="3" priority="43">
      <formula>U15="R"</formula>
    </cfRule>
  </conditionalFormatting>
  <conditionalFormatting sqref="U15:U22">
    <cfRule type="expression" dxfId="4" priority="44">
      <formula>U15="Anulado"</formula>
    </cfRule>
  </conditionalFormatting>
  <conditionalFormatting sqref="U15:U22">
    <cfRule type="expression" dxfId="4" priority="45">
      <formula>U15="Descartada"</formula>
    </cfRule>
  </conditionalFormatting>
  <conditionalFormatting sqref="U15:U22">
    <cfRule type="expression" dxfId="4" priority="46">
      <formula>U15="No aplica"</formula>
    </cfRule>
  </conditionalFormatting>
  <conditionalFormatting sqref="J15:T22">
    <cfRule type="expression" dxfId="0" priority="47">
      <formula>J15="✔"</formula>
    </cfRule>
  </conditionalFormatting>
  <dataValidations>
    <dataValidation type="list" allowBlank="1" sqref="U15:U22">
      <formula1>"A,R"</formula1>
    </dataValidation>
    <dataValidation type="list" allowBlank="1" sqref="H15:H22">
      <formula1>"Por hacer,En curso,Hecho,Descartada"</formula1>
    </dataValidation>
  </dataValidations>
  <printOptions/>
  <pageMargins bottom="0.5" footer="0.0" header="0.0" left="0.4" right="0.4" top="0.5"/>
  <pageSetup fitToHeight="0"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0"/>
    <col customWidth="1" min="2" max="2" width="96.0"/>
    <col customWidth="1" min="3" max="6" width="8.71"/>
  </cols>
  <sheetData>
    <row r="1" ht="18.0" customHeight="1">
      <c r="A1" s="1" t="s">
        <v>201</v>
      </c>
    </row>
    <row r="2">
      <c r="A2" s="2"/>
    </row>
    <row r="4" ht="18.75" customHeight="1">
      <c r="A4" s="3" t="s">
        <v>1151</v>
      </c>
      <c r="B4" s="3" t="s">
        <v>1152</v>
      </c>
    </row>
    <row r="5" ht="30.75" customHeight="1">
      <c r="A5" s="5" t="s">
        <v>1153</v>
      </c>
      <c r="B5" s="6" t="s">
        <v>1154</v>
      </c>
    </row>
    <row r="6" ht="30.75" customHeight="1">
      <c r="A6" s="10" t="s">
        <v>1155</v>
      </c>
      <c r="B6" s="11" t="s">
        <v>1156</v>
      </c>
    </row>
    <row r="7" ht="17.25" customHeight="1">
      <c r="A7" s="5" t="s">
        <v>1157</v>
      </c>
      <c r="B7" s="6" t="s">
        <v>1158</v>
      </c>
    </row>
    <row r="8" ht="43.5" customHeight="1">
      <c r="A8" s="10" t="s">
        <v>1159</v>
      </c>
      <c r="B8" s="11" t="s">
        <v>1160</v>
      </c>
    </row>
    <row r="9" ht="30.75" customHeight="1">
      <c r="A9" s="5" t="s">
        <v>1161</v>
      </c>
      <c r="B9" s="6" t="s">
        <v>1162</v>
      </c>
    </row>
    <row r="10" ht="30.75" customHeight="1">
      <c r="A10" s="10" t="s">
        <v>1163</v>
      </c>
      <c r="B10" s="11" t="s">
        <v>1164</v>
      </c>
    </row>
    <row r="11" ht="30.75" customHeight="1">
      <c r="A11" s="5" t="s">
        <v>1165</v>
      </c>
      <c r="B11" s="6" t="s">
        <v>1166</v>
      </c>
    </row>
    <row r="12" ht="17.25" customHeight="1">
      <c r="A12" s="10" t="s">
        <v>1167</v>
      </c>
      <c r="B12" s="11" t="s">
        <v>1168</v>
      </c>
    </row>
    <row r="13" ht="30.75" customHeight="1">
      <c r="A13" s="5" t="s">
        <v>1169</v>
      </c>
      <c r="B13" s="6" t="s">
        <v>1170</v>
      </c>
    </row>
    <row r="14" ht="30.75" customHeight="1">
      <c r="A14" s="10" t="s">
        <v>1171</v>
      </c>
      <c r="B14" s="11" t="s">
        <v>1172</v>
      </c>
    </row>
    <row r="15" ht="30.75" customHeight="1">
      <c r="A15" s="5" t="s">
        <v>1173</v>
      </c>
      <c r="B15" s="6" t="s">
        <v>1174</v>
      </c>
    </row>
    <row r="16" ht="17.25" customHeight="1">
      <c r="A16" s="10" t="s">
        <v>1175</v>
      </c>
      <c r="B16" s="11" t="s">
        <v>1176</v>
      </c>
    </row>
    <row r="17" ht="30.75" customHeight="1">
      <c r="A17" s="5" t="s">
        <v>1177</v>
      </c>
      <c r="B17" s="6" t="s">
        <v>1178</v>
      </c>
    </row>
    <row r="18" ht="17.25" customHeight="1">
      <c r="A18" s="10" t="s">
        <v>226</v>
      </c>
      <c r="B18" s="11" t="s">
        <v>1179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5" footer="0.0" header="0.0" left="0.4" right="0.4" top="0.5"/>
  <pageSetup fitToHeight="0"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10.0"/>
    <col customWidth="1" min="3" max="3" width="8.0"/>
    <col customWidth="1" min="4" max="4" width="14.0"/>
    <col customWidth="1" min="5" max="5" width="8.0"/>
    <col customWidth="1" min="6" max="6" width="34.0"/>
    <col customWidth="1" min="7" max="7" width="32.0"/>
    <col customWidth="1" min="8" max="8" width="36.0"/>
    <col customWidth="1" min="9" max="9" width="7.0"/>
    <col customWidth="1" min="10" max="10" width="16.0"/>
    <col customWidth="1" min="11" max="11" width="11.0"/>
    <col customWidth="1" min="12" max="12" width="9.0"/>
    <col customWidth="1" min="13" max="13" width="7.0"/>
  </cols>
  <sheetData>
    <row r="1" ht="18.0" customHeight="1">
      <c r="A1" s="1" t="s">
        <v>206</v>
      </c>
    </row>
    <row r="2">
      <c r="A2" s="2"/>
    </row>
    <row r="4" ht="18.75" customHeight="1">
      <c r="A4" s="3" t="s">
        <v>7</v>
      </c>
      <c r="B4" s="3" t="s">
        <v>1180</v>
      </c>
      <c r="C4" s="3" t="s">
        <v>1181</v>
      </c>
      <c r="D4" s="3" t="s">
        <v>966</v>
      </c>
      <c r="E4" s="3" t="s">
        <v>1182</v>
      </c>
      <c r="F4" s="3" t="s">
        <v>1183</v>
      </c>
      <c r="G4" s="3" t="s">
        <v>94</v>
      </c>
      <c r="H4" s="3" t="s">
        <v>1184</v>
      </c>
      <c r="I4" s="3" t="s">
        <v>836</v>
      </c>
      <c r="J4" s="3" t="s">
        <v>1163</v>
      </c>
      <c r="K4" s="3" t="s">
        <v>339</v>
      </c>
      <c r="L4" s="3" t="s">
        <v>1185</v>
      </c>
      <c r="M4" s="3" t="s">
        <v>637</v>
      </c>
    </row>
    <row r="5" ht="30.75" customHeight="1">
      <c r="A5" s="5" t="s">
        <v>1186</v>
      </c>
      <c r="B5" s="6" t="s">
        <v>347</v>
      </c>
      <c r="C5" s="6" t="s">
        <v>342</v>
      </c>
      <c r="D5" s="6" t="s">
        <v>1187</v>
      </c>
      <c r="E5" s="16" t="s">
        <v>1188</v>
      </c>
      <c r="F5" s="6" t="s">
        <v>1189</v>
      </c>
      <c r="G5" s="6" t="s">
        <v>1190</v>
      </c>
      <c r="H5" s="6"/>
      <c r="I5" s="16"/>
      <c r="J5" s="6"/>
      <c r="K5" s="16" t="s">
        <v>1047</v>
      </c>
      <c r="L5" s="16"/>
      <c r="M5" s="37">
        <v>4.0</v>
      </c>
    </row>
    <row r="6" ht="30.75" customHeight="1">
      <c r="A6" s="10" t="s">
        <v>1191</v>
      </c>
      <c r="B6" s="11" t="s">
        <v>347</v>
      </c>
      <c r="C6" s="11" t="s">
        <v>342</v>
      </c>
      <c r="D6" s="11" t="s">
        <v>1187</v>
      </c>
      <c r="E6" s="24" t="s">
        <v>1192</v>
      </c>
      <c r="F6" s="11" t="s">
        <v>1193</v>
      </c>
      <c r="G6" s="11" t="s">
        <v>1194</v>
      </c>
      <c r="H6" s="11"/>
      <c r="I6" s="24"/>
      <c r="J6" s="11"/>
      <c r="K6" s="24" t="s">
        <v>1047</v>
      </c>
      <c r="L6" s="24"/>
      <c r="M6" s="38">
        <v>4.0</v>
      </c>
    </row>
    <row r="7" ht="30.75" customHeight="1">
      <c r="A7" s="5" t="s">
        <v>1196</v>
      </c>
      <c r="B7" s="6" t="s">
        <v>347</v>
      </c>
      <c r="C7" s="6" t="s">
        <v>342</v>
      </c>
      <c r="D7" s="6" t="s">
        <v>1197</v>
      </c>
      <c r="E7" s="16" t="s">
        <v>1188</v>
      </c>
      <c r="F7" s="6" t="s">
        <v>1199</v>
      </c>
      <c r="G7" s="6" t="s">
        <v>1201</v>
      </c>
      <c r="H7" s="6"/>
      <c r="I7" s="16"/>
      <c r="J7" s="6"/>
      <c r="K7" s="16" t="s">
        <v>1047</v>
      </c>
      <c r="L7" s="16"/>
      <c r="M7" s="37">
        <v>4.0</v>
      </c>
    </row>
    <row r="8" ht="30.75" customHeight="1">
      <c r="A8" s="10" t="s">
        <v>1204</v>
      </c>
      <c r="B8" s="11" t="s">
        <v>461</v>
      </c>
      <c r="C8" s="11" t="s">
        <v>459</v>
      </c>
      <c r="D8" s="11" t="s">
        <v>1197</v>
      </c>
      <c r="E8" s="24" t="s">
        <v>1188</v>
      </c>
      <c r="F8" s="11" t="s">
        <v>1206</v>
      </c>
      <c r="G8" s="11" t="s">
        <v>1207</v>
      </c>
      <c r="H8" s="11"/>
      <c r="I8" s="24"/>
      <c r="J8" s="11"/>
      <c r="K8" s="24" t="s">
        <v>1047</v>
      </c>
      <c r="L8" s="24"/>
      <c r="M8" s="38" t="s">
        <v>466</v>
      </c>
    </row>
    <row r="9" ht="30.75" customHeight="1">
      <c r="A9" s="5" t="s">
        <v>1209</v>
      </c>
      <c r="B9" s="6" t="s">
        <v>533</v>
      </c>
      <c r="C9" s="6" t="s">
        <v>530</v>
      </c>
      <c r="D9" s="6" t="s">
        <v>1197</v>
      </c>
      <c r="E9" s="16" t="s">
        <v>1188</v>
      </c>
      <c r="F9" s="6" t="s">
        <v>1211</v>
      </c>
      <c r="G9" s="6" t="s">
        <v>1212</v>
      </c>
      <c r="H9" s="6"/>
      <c r="I9" s="16"/>
      <c r="J9" s="6"/>
      <c r="K9" s="16" t="s">
        <v>1047</v>
      </c>
      <c r="L9" s="16"/>
      <c r="M9" s="37" t="s">
        <v>466</v>
      </c>
    </row>
    <row r="10" ht="30.75" customHeight="1">
      <c r="A10" s="10" t="s">
        <v>1213</v>
      </c>
      <c r="B10" s="11" t="s">
        <v>443</v>
      </c>
      <c r="C10" s="11" t="s">
        <v>541</v>
      </c>
      <c r="D10" s="11" t="s">
        <v>1197</v>
      </c>
      <c r="E10" s="24" t="s">
        <v>1192</v>
      </c>
      <c r="F10" s="11" t="s">
        <v>1214</v>
      </c>
      <c r="G10" s="11" t="s">
        <v>1212</v>
      </c>
      <c r="H10" s="11"/>
      <c r="I10" s="24"/>
      <c r="J10" s="11"/>
      <c r="K10" s="24" t="s">
        <v>1047</v>
      </c>
      <c r="L10" s="24"/>
      <c r="M10" s="38">
        <v>5.0</v>
      </c>
    </row>
    <row r="11" ht="43.5" customHeight="1">
      <c r="A11" s="5" t="s">
        <v>1215</v>
      </c>
      <c r="B11" s="6" t="s">
        <v>395</v>
      </c>
      <c r="C11" s="6" t="s">
        <v>392</v>
      </c>
      <c r="D11" s="6" t="s">
        <v>1216</v>
      </c>
      <c r="E11" s="16" t="s">
        <v>1188</v>
      </c>
      <c r="F11" s="6" t="s">
        <v>1217</v>
      </c>
      <c r="G11" s="6" t="s">
        <v>1218</v>
      </c>
      <c r="H11" s="6" t="s">
        <v>1219</v>
      </c>
      <c r="I11" s="16" t="s">
        <v>878</v>
      </c>
      <c r="J11" s="6" t="s">
        <v>1220</v>
      </c>
      <c r="K11" s="16" t="s">
        <v>1221</v>
      </c>
      <c r="L11" s="16"/>
      <c r="M11" s="37">
        <v>4.0</v>
      </c>
    </row>
    <row r="12" ht="30.75" customHeight="1">
      <c r="A12" s="10" t="s">
        <v>1222</v>
      </c>
      <c r="B12" s="11" t="s">
        <v>395</v>
      </c>
      <c r="C12" s="11" t="s">
        <v>392</v>
      </c>
      <c r="D12" s="11" t="s">
        <v>1216</v>
      </c>
      <c r="E12" s="24" t="s">
        <v>1188</v>
      </c>
      <c r="F12" s="11" t="s">
        <v>1223</v>
      </c>
      <c r="G12" s="11" t="s">
        <v>1224</v>
      </c>
      <c r="H12" s="11" t="s">
        <v>1225</v>
      </c>
      <c r="I12" s="24" t="s">
        <v>876</v>
      </c>
      <c r="J12" s="11" t="s">
        <v>1226</v>
      </c>
      <c r="K12" s="24" t="s">
        <v>1221</v>
      </c>
      <c r="L12" s="24" t="s">
        <v>1227</v>
      </c>
      <c r="M12" s="38">
        <v>4.0</v>
      </c>
    </row>
    <row r="13" ht="43.5" customHeight="1">
      <c r="A13" s="5" t="s">
        <v>1228</v>
      </c>
      <c r="B13" s="6" t="s">
        <v>395</v>
      </c>
      <c r="C13" s="6" t="s">
        <v>392</v>
      </c>
      <c r="D13" s="6" t="s">
        <v>1216</v>
      </c>
      <c r="E13" s="16" t="s">
        <v>1188</v>
      </c>
      <c r="F13" s="6" t="s">
        <v>1229</v>
      </c>
      <c r="G13" s="6" t="s">
        <v>1230</v>
      </c>
      <c r="H13" s="6" t="s">
        <v>1231</v>
      </c>
      <c r="I13" s="16" t="s">
        <v>876</v>
      </c>
      <c r="J13" s="6" t="s">
        <v>1226</v>
      </c>
      <c r="K13" s="16" t="s">
        <v>1221</v>
      </c>
      <c r="L13" s="16"/>
      <c r="M13" s="37">
        <v>4.0</v>
      </c>
    </row>
    <row r="14" ht="30.75" customHeight="1">
      <c r="A14" s="10" t="s">
        <v>1232</v>
      </c>
      <c r="B14" s="11" t="s">
        <v>395</v>
      </c>
      <c r="C14" s="11" t="s">
        <v>392</v>
      </c>
      <c r="D14" s="11" t="s">
        <v>1216</v>
      </c>
      <c r="E14" s="24" t="s">
        <v>1188</v>
      </c>
      <c r="F14" s="11" t="s">
        <v>1233</v>
      </c>
      <c r="G14" s="11" t="s">
        <v>1234</v>
      </c>
      <c r="H14" s="11" t="s">
        <v>1235</v>
      </c>
      <c r="I14" s="24" t="s">
        <v>878</v>
      </c>
      <c r="J14" s="11" t="s">
        <v>1220</v>
      </c>
      <c r="K14" s="24" t="s">
        <v>1221</v>
      </c>
      <c r="L14" s="24"/>
      <c r="M14" s="38">
        <v>4.0</v>
      </c>
    </row>
    <row r="15" ht="30.75" customHeight="1">
      <c r="A15" s="5" t="s">
        <v>1236</v>
      </c>
      <c r="B15" s="6" t="s">
        <v>395</v>
      </c>
      <c r="C15" s="6" t="s">
        <v>392</v>
      </c>
      <c r="D15" s="6" t="s">
        <v>1216</v>
      </c>
      <c r="E15" s="16" t="s">
        <v>1188</v>
      </c>
      <c r="F15" s="6" t="s">
        <v>1237</v>
      </c>
      <c r="G15" s="6" t="s">
        <v>1238</v>
      </c>
      <c r="H15" s="6" t="s">
        <v>1239</v>
      </c>
      <c r="I15" s="16" t="s">
        <v>878</v>
      </c>
      <c r="J15" s="6" t="s">
        <v>1220</v>
      </c>
      <c r="K15" s="16" t="s">
        <v>1221</v>
      </c>
      <c r="L15" s="16"/>
      <c r="M15" s="37">
        <v>4.0</v>
      </c>
    </row>
    <row r="16" ht="30.75" customHeight="1">
      <c r="A16" s="10" t="s">
        <v>1240</v>
      </c>
      <c r="B16" s="11" t="s">
        <v>395</v>
      </c>
      <c r="C16" s="11" t="s">
        <v>392</v>
      </c>
      <c r="D16" s="11" t="s">
        <v>1241</v>
      </c>
      <c r="E16" s="24" t="s">
        <v>1188</v>
      </c>
      <c r="F16" s="11" t="s">
        <v>1242</v>
      </c>
      <c r="G16" s="11" t="s">
        <v>1243</v>
      </c>
      <c r="H16" s="11" t="s">
        <v>1244</v>
      </c>
      <c r="I16" s="24" t="s">
        <v>876</v>
      </c>
      <c r="J16" s="11" t="s">
        <v>1226</v>
      </c>
      <c r="K16" s="24" t="s">
        <v>1245</v>
      </c>
      <c r="L16" s="24" t="s">
        <v>1246</v>
      </c>
      <c r="M16" s="38">
        <v>4.0</v>
      </c>
    </row>
    <row r="17" ht="30.75" customHeight="1">
      <c r="A17" s="5" t="s">
        <v>1247</v>
      </c>
      <c r="B17" s="6" t="s">
        <v>379</v>
      </c>
      <c r="C17" s="6" t="s">
        <v>392</v>
      </c>
      <c r="D17" s="6" t="s">
        <v>1241</v>
      </c>
      <c r="E17" s="16" t="s">
        <v>1192</v>
      </c>
      <c r="F17" s="6" t="s">
        <v>1248</v>
      </c>
      <c r="G17" s="6" t="s">
        <v>1249</v>
      </c>
      <c r="H17" s="6" t="s">
        <v>1250</v>
      </c>
      <c r="I17" s="16" t="s">
        <v>877</v>
      </c>
      <c r="J17" s="6" t="s">
        <v>1226</v>
      </c>
      <c r="K17" s="16" t="s">
        <v>1047</v>
      </c>
      <c r="L17" s="16" t="s">
        <v>1251</v>
      </c>
      <c r="M17" s="37">
        <v>4.0</v>
      </c>
    </row>
    <row r="18" ht="43.5" customHeight="1">
      <c r="A18" s="10" t="s">
        <v>1252</v>
      </c>
      <c r="B18" s="11" t="s">
        <v>422</v>
      </c>
      <c r="C18" s="11" t="s">
        <v>420</v>
      </c>
      <c r="D18" s="11" t="s">
        <v>1187</v>
      </c>
      <c r="E18" s="24" t="s">
        <v>1188</v>
      </c>
      <c r="F18" s="11" t="s">
        <v>1253</v>
      </c>
      <c r="G18" s="11" t="s">
        <v>1255</v>
      </c>
      <c r="H18" s="11" t="s">
        <v>1256</v>
      </c>
      <c r="I18" s="24" t="s">
        <v>877</v>
      </c>
      <c r="J18" s="11" t="s">
        <v>1226</v>
      </c>
      <c r="K18" s="24" t="s">
        <v>1047</v>
      </c>
      <c r="L18" s="24" t="s">
        <v>1257</v>
      </c>
      <c r="M18" s="38">
        <v>4.0</v>
      </c>
    </row>
    <row r="19" ht="30.75" customHeight="1">
      <c r="A19" s="5" t="s">
        <v>1258</v>
      </c>
      <c r="B19" s="6" t="s">
        <v>170</v>
      </c>
      <c r="C19" s="6" t="s">
        <v>434</v>
      </c>
      <c r="D19" s="6" t="s">
        <v>1187</v>
      </c>
      <c r="E19" s="16" t="s">
        <v>1192</v>
      </c>
      <c r="F19" s="6" t="s">
        <v>1259</v>
      </c>
      <c r="G19" s="6" t="s">
        <v>1260</v>
      </c>
      <c r="H19" s="6" t="s">
        <v>1261</v>
      </c>
      <c r="I19" s="16" t="s">
        <v>877</v>
      </c>
      <c r="J19" s="6" t="s">
        <v>1226</v>
      </c>
      <c r="K19" s="16" t="s">
        <v>1262</v>
      </c>
      <c r="L19" s="16" t="s">
        <v>1263</v>
      </c>
      <c r="M19" s="37">
        <v>4.0</v>
      </c>
    </row>
    <row r="20" ht="30.75" customHeight="1">
      <c r="A20" s="10" t="s">
        <v>1264</v>
      </c>
      <c r="B20" s="11" t="s">
        <v>190</v>
      </c>
      <c r="C20" s="11" t="s">
        <v>429</v>
      </c>
      <c r="D20" s="11" t="s">
        <v>1187</v>
      </c>
      <c r="E20" s="24" t="s">
        <v>1192</v>
      </c>
      <c r="F20" s="11" t="s">
        <v>1265</v>
      </c>
      <c r="G20" s="11" t="s">
        <v>1266</v>
      </c>
      <c r="H20" s="11"/>
      <c r="I20" s="24"/>
      <c r="J20" s="11"/>
      <c r="K20" s="24" t="s">
        <v>1047</v>
      </c>
      <c r="L20" s="24"/>
      <c r="M20" s="38">
        <v>5.0</v>
      </c>
    </row>
    <row r="21" ht="30.75" customHeight="1">
      <c r="A21" s="5" t="s">
        <v>1267</v>
      </c>
      <c r="B21" s="6" t="s">
        <v>404</v>
      </c>
      <c r="C21" s="6" t="s">
        <v>401</v>
      </c>
      <c r="D21" s="6" t="s">
        <v>1197</v>
      </c>
      <c r="E21" s="16" t="s">
        <v>1188</v>
      </c>
      <c r="F21" s="6" t="s">
        <v>1268</v>
      </c>
      <c r="G21" s="6" t="s">
        <v>1269</v>
      </c>
      <c r="H21" s="6"/>
      <c r="I21" s="16"/>
      <c r="J21" s="6"/>
      <c r="K21" s="16" t="s">
        <v>1047</v>
      </c>
      <c r="L21" s="16"/>
      <c r="M21" s="37">
        <v>5.0</v>
      </c>
    </row>
    <row r="22" ht="30.75" customHeight="1">
      <c r="A22" s="10" t="s">
        <v>1270</v>
      </c>
      <c r="B22" s="11" t="s">
        <v>491</v>
      </c>
      <c r="C22" s="11" t="s">
        <v>489</v>
      </c>
      <c r="D22" s="11" t="s">
        <v>1187</v>
      </c>
      <c r="E22" s="24" t="s">
        <v>1192</v>
      </c>
      <c r="F22" s="11" t="s">
        <v>1271</v>
      </c>
      <c r="G22" s="11" t="s">
        <v>1272</v>
      </c>
      <c r="H22" s="11"/>
      <c r="I22" s="24"/>
      <c r="J22" s="11"/>
      <c r="K22" s="24" t="s">
        <v>1047</v>
      </c>
      <c r="L22" s="24"/>
      <c r="M22" s="38">
        <v>6.0</v>
      </c>
    </row>
    <row r="23" ht="30.75" customHeight="1">
      <c r="A23" s="5" t="s">
        <v>1273</v>
      </c>
      <c r="B23" s="6" t="s">
        <v>170</v>
      </c>
      <c r="C23" s="6" t="s">
        <v>452</v>
      </c>
      <c r="D23" s="6" t="s">
        <v>1241</v>
      </c>
      <c r="E23" s="16" t="s">
        <v>1192</v>
      </c>
      <c r="F23" s="6" t="s">
        <v>1274</v>
      </c>
      <c r="G23" s="6" t="s">
        <v>1275</v>
      </c>
      <c r="H23" s="6"/>
      <c r="I23" s="16"/>
      <c r="J23" s="6"/>
      <c r="K23" s="16" t="s">
        <v>1047</v>
      </c>
      <c r="L23" s="16"/>
      <c r="M23" s="37">
        <v>4.0</v>
      </c>
    </row>
    <row r="24" ht="43.5" customHeight="1">
      <c r="A24" s="10" t="s">
        <v>1276</v>
      </c>
      <c r="B24" s="11" t="s">
        <v>170</v>
      </c>
      <c r="C24" s="11" t="s">
        <v>452</v>
      </c>
      <c r="D24" s="11" t="s">
        <v>1241</v>
      </c>
      <c r="E24" s="24" t="s">
        <v>1188</v>
      </c>
      <c r="F24" s="11" t="s">
        <v>1277</v>
      </c>
      <c r="G24" s="11" t="s">
        <v>1278</v>
      </c>
      <c r="H24" s="11" t="s">
        <v>1279</v>
      </c>
      <c r="I24" s="24" t="s">
        <v>878</v>
      </c>
      <c r="J24" s="11" t="s">
        <v>1220</v>
      </c>
      <c r="K24" s="24" t="s">
        <v>1047</v>
      </c>
      <c r="L24" s="24"/>
      <c r="M24" s="38">
        <v>4.0</v>
      </c>
    </row>
    <row r="25" ht="30.75" customHeight="1">
      <c r="A25" s="5" t="s">
        <v>1280</v>
      </c>
      <c r="B25" s="6" t="s">
        <v>479</v>
      </c>
      <c r="C25" s="6" t="s">
        <v>477</v>
      </c>
      <c r="D25" s="6" t="s">
        <v>1187</v>
      </c>
      <c r="E25" s="16" t="s">
        <v>1192</v>
      </c>
      <c r="F25" s="6" t="s">
        <v>1281</v>
      </c>
      <c r="G25" s="6" t="s">
        <v>1282</v>
      </c>
      <c r="H25" s="6"/>
      <c r="I25" s="16"/>
      <c r="J25" s="6"/>
      <c r="K25" s="16" t="s">
        <v>1047</v>
      </c>
      <c r="L25" s="16"/>
      <c r="M25" s="37" t="s">
        <v>466</v>
      </c>
    </row>
    <row r="26" ht="30.75" customHeight="1">
      <c r="A26" s="10" t="s">
        <v>1284</v>
      </c>
      <c r="B26" s="11" t="s">
        <v>404</v>
      </c>
      <c r="C26" s="11" t="s">
        <v>401</v>
      </c>
      <c r="D26" s="11" t="s">
        <v>1187</v>
      </c>
      <c r="E26" s="24" t="s">
        <v>1192</v>
      </c>
      <c r="F26" s="11" t="s">
        <v>1285</v>
      </c>
      <c r="G26" s="11" t="s">
        <v>1286</v>
      </c>
      <c r="H26" s="11" t="s">
        <v>1287</v>
      </c>
      <c r="I26" s="24" t="s">
        <v>877</v>
      </c>
      <c r="J26" s="11" t="s">
        <v>1226</v>
      </c>
      <c r="K26" s="24" t="s">
        <v>1221</v>
      </c>
      <c r="L26" s="24"/>
      <c r="M26" s="38">
        <v>5.0</v>
      </c>
    </row>
    <row r="27" ht="43.5" customHeight="1">
      <c r="A27" s="5" t="s">
        <v>1288</v>
      </c>
      <c r="B27" s="6" t="s">
        <v>443</v>
      </c>
      <c r="C27" s="6" t="s">
        <v>441</v>
      </c>
      <c r="D27" s="6" t="s">
        <v>1187</v>
      </c>
      <c r="E27" s="16" t="s">
        <v>1192</v>
      </c>
      <c r="F27" s="6" t="s">
        <v>1289</v>
      </c>
      <c r="G27" s="6" t="s">
        <v>1290</v>
      </c>
      <c r="H27" s="6" t="s">
        <v>1291</v>
      </c>
      <c r="I27" s="16" t="s">
        <v>877</v>
      </c>
      <c r="J27" s="6" t="s">
        <v>1226</v>
      </c>
      <c r="K27" s="16" t="s">
        <v>1221</v>
      </c>
      <c r="L27" s="16"/>
      <c r="M27" s="37">
        <v>4.0</v>
      </c>
    </row>
    <row r="28" ht="30.75" customHeight="1">
      <c r="A28" s="10" t="s">
        <v>1292</v>
      </c>
      <c r="B28" s="11" t="s">
        <v>1293</v>
      </c>
      <c r="C28" s="11" t="s">
        <v>530</v>
      </c>
      <c r="D28" s="11" t="s">
        <v>1197</v>
      </c>
      <c r="E28" s="24" t="s">
        <v>1188</v>
      </c>
      <c r="F28" s="11" t="s">
        <v>1294</v>
      </c>
      <c r="G28" s="11" t="s">
        <v>1295</v>
      </c>
      <c r="H28" s="11" t="s">
        <v>1296</v>
      </c>
      <c r="I28" s="24"/>
      <c r="J28" s="11" t="s">
        <v>1226</v>
      </c>
      <c r="K28" s="24" t="s">
        <v>1047</v>
      </c>
      <c r="L28" s="24"/>
      <c r="M28" s="38" t="s">
        <v>466</v>
      </c>
    </row>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M$28"/>
  <conditionalFormatting sqref="K5:K28">
    <cfRule type="expression" dxfId="0" priority="1">
      <formula>K5="Hecho"</formula>
    </cfRule>
  </conditionalFormatting>
  <conditionalFormatting sqref="K5:K28">
    <cfRule type="expression" dxfId="0" priority="2">
      <formula>K5="Aprobado"</formula>
    </cfRule>
  </conditionalFormatting>
  <conditionalFormatting sqref="K5:K28">
    <cfRule type="expression" dxfId="0" priority="3">
      <formula>K5="Cerrado"</formula>
    </cfRule>
  </conditionalFormatting>
  <conditionalFormatting sqref="K5:K28">
    <cfRule type="expression" dxfId="0" priority="4">
      <formula>K5="Implementado"</formula>
    </cfRule>
  </conditionalFormatting>
  <conditionalFormatting sqref="K5:K28">
    <cfRule type="expression" dxfId="0" priority="5">
      <formula>K5="Terminado"</formula>
    </cfRule>
  </conditionalFormatting>
  <conditionalFormatting sqref="K5:K28">
    <cfRule type="expression" dxfId="0" priority="6">
      <formula>K5="Aplicado"</formula>
    </cfRule>
  </conditionalFormatting>
  <conditionalFormatting sqref="K5:K28">
    <cfRule type="expression" dxfId="0" priority="7">
      <formula>K5="A"</formula>
    </cfRule>
  </conditionalFormatting>
  <conditionalFormatting sqref="K5:K28">
    <cfRule type="expression" dxfId="1" priority="8">
      <formula>K5="En curso"</formula>
    </cfRule>
  </conditionalFormatting>
  <conditionalFormatting sqref="K5:K28">
    <cfRule type="expression" dxfId="1" priority="9">
      <formula>K5="Pendiente"</formula>
    </cfRule>
  </conditionalFormatting>
  <conditionalFormatting sqref="K5:K28">
    <cfRule type="expression" dxfId="1" priority="10">
      <formula>K5="Corregido"</formula>
    </cfRule>
  </conditionalFormatting>
  <conditionalFormatting sqref="K5:K28">
    <cfRule type="expression" dxfId="1" priority="11">
      <formula>K5="En desarrollo"</formula>
    </cfRule>
  </conditionalFormatting>
  <conditionalFormatting sqref="K5:K28">
    <cfRule type="expression" dxfId="1" priority="12">
      <formula>K5="En evaluación"</formula>
    </cfRule>
  </conditionalFormatting>
  <conditionalFormatting sqref="K5:K28">
    <cfRule type="expression" dxfId="1" priority="13">
      <formula>K5="En ejecución"</formula>
    </cfRule>
  </conditionalFormatting>
  <conditionalFormatting sqref="K5:K28">
    <cfRule type="expression" dxfId="1" priority="14">
      <formula>K5="Prueba de concepto"</formula>
    </cfRule>
  </conditionalFormatting>
  <conditionalFormatting sqref="K5:K28">
    <cfRule type="expression" dxfId="2" priority="15">
      <formula>K5="Por hacer"</formula>
    </cfRule>
  </conditionalFormatting>
  <conditionalFormatting sqref="K5:K28">
    <cfRule type="expression" dxfId="2" priority="16">
      <formula>K5="Planificado"</formula>
    </cfRule>
  </conditionalFormatting>
  <conditionalFormatting sqref="K5:K28">
    <cfRule type="expression" dxfId="2" priority="17">
      <formula>K5="Diseñado"</formula>
    </cfRule>
  </conditionalFormatting>
  <conditionalFormatting sqref="K5:K28">
    <cfRule type="expression" dxfId="3" priority="18">
      <formula>K5="Fallido"</formula>
    </cfRule>
  </conditionalFormatting>
  <conditionalFormatting sqref="K5:K28">
    <cfRule type="expression" dxfId="3" priority="19">
      <formula>K5="Abierto"</formula>
    </cfRule>
  </conditionalFormatting>
  <conditionalFormatting sqref="K5:K28">
    <cfRule type="expression" dxfId="3" priority="20">
      <formula>K5="R"</formula>
    </cfRule>
  </conditionalFormatting>
  <conditionalFormatting sqref="K5:K28">
    <cfRule type="expression" dxfId="4" priority="21">
      <formula>K5="Anulado"</formula>
    </cfRule>
  </conditionalFormatting>
  <conditionalFormatting sqref="K5:K28">
    <cfRule type="expression" dxfId="4" priority="22">
      <formula>K5="Descartada"</formula>
    </cfRule>
  </conditionalFormatting>
  <conditionalFormatting sqref="K5:K28">
    <cfRule type="expression" dxfId="4" priority="23">
      <formula>K5="No aplica"</formula>
    </cfRule>
  </conditionalFormatting>
  <dataValidations>
    <dataValidation type="list" allowBlank="1" sqref="E5:E28">
      <formula1>"Sí,No"</formula1>
    </dataValidation>
    <dataValidation type="list" allowBlank="1" sqref="K5:K28">
      <formula1>"Aprobado,Fallido,Pendiente,Anulado"</formula1>
    </dataValidation>
  </dataValidations>
  <printOptions/>
  <pageMargins bottom="0.5" footer="0.0" header="0.0" left="0.4" right="0.4" top="0.5"/>
  <pageSetup fitToHeight="0"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8.0"/>
    <col customWidth="1" min="2" max="2" width="28.0"/>
    <col customWidth="1" min="3" max="3" width="11.0"/>
    <col customWidth="1" min="4" max="4" width="10.0"/>
    <col customWidth="1" min="5" max="5" width="9.0"/>
    <col customWidth="1" min="6" max="6" width="10.0"/>
    <col customWidth="1" min="7" max="7" width="9.0"/>
    <col customWidth="1" min="8" max="8" width="12.0"/>
  </cols>
  <sheetData>
    <row r="1" ht="18.0" customHeight="1">
      <c r="A1" s="1" t="s">
        <v>1195</v>
      </c>
    </row>
    <row r="2">
      <c r="A2" s="2"/>
    </row>
    <row r="4" ht="44.25" customHeight="1">
      <c r="A4" s="3" t="s">
        <v>1181</v>
      </c>
      <c r="B4" s="3" t="s">
        <v>1198</v>
      </c>
      <c r="C4" s="3" t="s">
        <v>1200</v>
      </c>
      <c r="D4" s="3" t="s">
        <v>1202</v>
      </c>
      <c r="E4" s="3" t="s">
        <v>1203</v>
      </c>
      <c r="F4" s="3" t="s">
        <v>838</v>
      </c>
      <c r="G4" s="3" t="s">
        <v>1205</v>
      </c>
      <c r="H4" s="3" t="s">
        <v>1208</v>
      </c>
    </row>
    <row r="5" ht="17.25" customHeight="1">
      <c r="A5" s="5" t="s">
        <v>342</v>
      </c>
      <c r="B5" s="6" t="s">
        <v>1210</v>
      </c>
      <c r="C5" s="16">
        <f>COUNTIF('I2 Casos de prueba'!$C$5:$C$28,A5)</f>
        <v>3</v>
      </c>
      <c r="D5" s="16">
        <f>COUNTIFS('I2 Casos de prueba'!$C$5:$C$28,A5,'I2 Casos de prueba'!$K$5:$K$28,"Aprobado")</f>
        <v>0</v>
      </c>
      <c r="E5" s="16">
        <f>COUNTIFS('I2 Casos de prueba'!$C$5:$C$28,A5,'I2 Casos de prueba'!$K$5:$K$28,"Fallido")</f>
        <v>0</v>
      </c>
      <c r="F5" s="16">
        <f>COUNTIFS('I2 Casos de prueba'!$C$5:$C$28,A5,'I2 Casos de prueba'!$K$5:$K$28,"Pendiente")</f>
        <v>3</v>
      </c>
      <c r="G5" s="16">
        <f>COUNTIFS('I2 Casos de prueba'!$C$5:$C$28,A5,'I2 Casos de prueba'!$K$5:$K$28,"Anulado")</f>
        <v>0</v>
      </c>
      <c r="H5" s="90" t="str">
        <f t="shared" ref="H5:H18" si="1">IF(D5+E5=0,"—",D5/(D5+E5))</f>
        <v>—</v>
      </c>
    </row>
    <row r="6" ht="17.25" customHeight="1">
      <c r="A6" s="10" t="s">
        <v>392</v>
      </c>
      <c r="B6" s="11" t="s">
        <v>1254</v>
      </c>
      <c r="C6" s="24">
        <f>COUNTIF('I2 Casos de prueba'!$C$5:$C$28,A6)</f>
        <v>7</v>
      </c>
      <c r="D6" s="24">
        <f>COUNTIFS('I2 Casos de prueba'!$C$5:$C$28,A6,'I2 Casos de prueba'!$K$5:$K$28,"Aprobado")</f>
        <v>5</v>
      </c>
      <c r="E6" s="24">
        <f>COUNTIFS('I2 Casos de prueba'!$C$5:$C$28,A6,'I2 Casos de prueba'!$K$5:$K$28,"Fallido")</f>
        <v>1</v>
      </c>
      <c r="F6" s="24">
        <f>COUNTIFS('I2 Casos de prueba'!$C$5:$C$28,A6,'I2 Casos de prueba'!$K$5:$K$28,"Pendiente")</f>
        <v>1</v>
      </c>
      <c r="G6" s="24">
        <f>COUNTIFS('I2 Casos de prueba'!$C$5:$C$28,A6,'I2 Casos de prueba'!$K$5:$K$28,"Anulado")</f>
        <v>0</v>
      </c>
      <c r="H6" s="91">
        <f t="shared" si="1"/>
        <v>0.8333333333</v>
      </c>
    </row>
    <row r="7" ht="17.25" customHeight="1">
      <c r="A7" s="5" t="s">
        <v>420</v>
      </c>
      <c r="B7" s="6" t="s">
        <v>1283</v>
      </c>
      <c r="C7" s="16">
        <f>COUNTIF('I2 Casos de prueba'!$C$5:$C$28,A7)</f>
        <v>1</v>
      </c>
      <c r="D7" s="16">
        <f>COUNTIFS('I2 Casos de prueba'!$C$5:$C$28,A7,'I2 Casos de prueba'!$K$5:$K$28,"Aprobado")</f>
        <v>0</v>
      </c>
      <c r="E7" s="16">
        <f>COUNTIFS('I2 Casos de prueba'!$C$5:$C$28,A7,'I2 Casos de prueba'!$K$5:$K$28,"Fallido")</f>
        <v>0</v>
      </c>
      <c r="F7" s="16">
        <f>COUNTIFS('I2 Casos de prueba'!$C$5:$C$28,A7,'I2 Casos de prueba'!$K$5:$K$28,"Pendiente")</f>
        <v>1</v>
      </c>
      <c r="G7" s="16">
        <f>COUNTIFS('I2 Casos de prueba'!$C$5:$C$28,A7,'I2 Casos de prueba'!$K$5:$K$28,"Anulado")</f>
        <v>0</v>
      </c>
      <c r="H7" s="90" t="str">
        <f t="shared" si="1"/>
        <v>—</v>
      </c>
    </row>
    <row r="8" ht="17.25" customHeight="1">
      <c r="A8" s="10" t="s">
        <v>429</v>
      </c>
      <c r="B8" s="11" t="s">
        <v>1297</v>
      </c>
      <c r="C8" s="24">
        <f>COUNTIF('I2 Casos de prueba'!$C$5:$C$28,A8)</f>
        <v>1</v>
      </c>
      <c r="D8" s="24">
        <f>COUNTIFS('I2 Casos de prueba'!$C$5:$C$28,A8,'I2 Casos de prueba'!$K$5:$K$28,"Aprobado")</f>
        <v>0</v>
      </c>
      <c r="E8" s="24">
        <f>COUNTIFS('I2 Casos de prueba'!$C$5:$C$28,A8,'I2 Casos de prueba'!$K$5:$K$28,"Fallido")</f>
        <v>0</v>
      </c>
      <c r="F8" s="24">
        <f>COUNTIFS('I2 Casos de prueba'!$C$5:$C$28,A8,'I2 Casos de prueba'!$K$5:$K$28,"Pendiente")</f>
        <v>1</v>
      </c>
      <c r="G8" s="24">
        <f>COUNTIFS('I2 Casos de prueba'!$C$5:$C$28,A8,'I2 Casos de prueba'!$K$5:$K$28,"Anulado")</f>
        <v>0</v>
      </c>
      <c r="H8" s="91" t="str">
        <f t="shared" si="1"/>
        <v>—</v>
      </c>
    </row>
    <row r="9" ht="17.25" customHeight="1">
      <c r="A9" s="5" t="s">
        <v>401</v>
      </c>
      <c r="B9" s="6" t="s">
        <v>1310</v>
      </c>
      <c r="C9" s="16">
        <f>COUNTIF('I2 Casos de prueba'!$C$5:$C$28,A9)</f>
        <v>2</v>
      </c>
      <c r="D9" s="16">
        <f>COUNTIFS('I2 Casos de prueba'!$C$5:$C$28,A9,'I2 Casos de prueba'!$K$5:$K$28,"Aprobado")</f>
        <v>1</v>
      </c>
      <c r="E9" s="16">
        <f>COUNTIFS('I2 Casos de prueba'!$C$5:$C$28,A9,'I2 Casos de prueba'!$K$5:$K$28,"Fallido")</f>
        <v>0</v>
      </c>
      <c r="F9" s="16">
        <f>COUNTIFS('I2 Casos de prueba'!$C$5:$C$28,A9,'I2 Casos de prueba'!$K$5:$K$28,"Pendiente")</f>
        <v>1</v>
      </c>
      <c r="G9" s="16">
        <f>COUNTIFS('I2 Casos de prueba'!$C$5:$C$28,A9,'I2 Casos de prueba'!$K$5:$K$28,"Anulado")</f>
        <v>0</v>
      </c>
      <c r="H9" s="90">
        <f t="shared" si="1"/>
        <v>1</v>
      </c>
    </row>
    <row r="10" ht="17.25" customHeight="1">
      <c r="A10" s="10" t="s">
        <v>434</v>
      </c>
      <c r="B10" s="11" t="s">
        <v>1356</v>
      </c>
      <c r="C10" s="24">
        <f>COUNTIF('I2 Casos de prueba'!$C$5:$C$28,A10)</f>
        <v>1</v>
      </c>
      <c r="D10" s="24">
        <f>COUNTIFS('I2 Casos de prueba'!$C$5:$C$28,A10,'I2 Casos de prueba'!$K$5:$K$28,"Aprobado")</f>
        <v>0</v>
      </c>
      <c r="E10" s="24">
        <f>COUNTIFS('I2 Casos de prueba'!$C$5:$C$28,A10,'I2 Casos de prueba'!$K$5:$K$28,"Fallido")</f>
        <v>0</v>
      </c>
      <c r="F10" s="24">
        <f>COUNTIFS('I2 Casos de prueba'!$C$5:$C$28,A10,'I2 Casos de prueba'!$K$5:$K$28,"Pendiente")</f>
        <v>0</v>
      </c>
      <c r="G10" s="24">
        <f>COUNTIFS('I2 Casos de prueba'!$C$5:$C$28,A10,'I2 Casos de prueba'!$K$5:$K$28,"Anulado")</f>
        <v>1</v>
      </c>
      <c r="H10" s="91" t="str">
        <f t="shared" si="1"/>
        <v>—</v>
      </c>
    </row>
    <row r="11" ht="17.25" customHeight="1">
      <c r="A11" s="5" t="s">
        <v>459</v>
      </c>
      <c r="B11" s="6" t="s">
        <v>1357</v>
      </c>
      <c r="C11" s="16">
        <f>COUNTIF('I2 Casos de prueba'!$C$5:$C$28,A11)</f>
        <v>1</v>
      </c>
      <c r="D11" s="16">
        <f>COUNTIFS('I2 Casos de prueba'!$C$5:$C$28,A11,'I2 Casos de prueba'!$K$5:$K$28,"Aprobado")</f>
        <v>0</v>
      </c>
      <c r="E11" s="16">
        <f>COUNTIFS('I2 Casos de prueba'!$C$5:$C$28,A11,'I2 Casos de prueba'!$K$5:$K$28,"Fallido")</f>
        <v>0</v>
      </c>
      <c r="F11" s="16">
        <f>COUNTIFS('I2 Casos de prueba'!$C$5:$C$28,A11,'I2 Casos de prueba'!$K$5:$K$28,"Pendiente")</f>
        <v>1</v>
      </c>
      <c r="G11" s="16">
        <f>COUNTIFS('I2 Casos de prueba'!$C$5:$C$28,A11,'I2 Casos de prueba'!$K$5:$K$28,"Anulado")</f>
        <v>0</v>
      </c>
      <c r="H11" s="90" t="str">
        <f t="shared" si="1"/>
        <v>—</v>
      </c>
    </row>
    <row r="12" ht="17.25" customHeight="1">
      <c r="A12" s="10" t="s">
        <v>452</v>
      </c>
      <c r="B12" s="11" t="s">
        <v>1358</v>
      </c>
      <c r="C12" s="24">
        <f>COUNTIF('I2 Casos de prueba'!$C$5:$C$28,A12)</f>
        <v>2</v>
      </c>
      <c r="D12" s="24">
        <f>COUNTIFS('I2 Casos de prueba'!$C$5:$C$28,A12,'I2 Casos de prueba'!$K$5:$K$28,"Aprobado")</f>
        <v>0</v>
      </c>
      <c r="E12" s="24">
        <f>COUNTIFS('I2 Casos de prueba'!$C$5:$C$28,A12,'I2 Casos de prueba'!$K$5:$K$28,"Fallido")</f>
        <v>0</v>
      </c>
      <c r="F12" s="24">
        <f>COUNTIFS('I2 Casos de prueba'!$C$5:$C$28,A12,'I2 Casos de prueba'!$K$5:$K$28,"Pendiente")</f>
        <v>2</v>
      </c>
      <c r="G12" s="24">
        <f>COUNTIFS('I2 Casos de prueba'!$C$5:$C$28,A12,'I2 Casos de prueba'!$K$5:$K$28,"Anulado")</f>
        <v>0</v>
      </c>
      <c r="H12" s="91" t="str">
        <f t="shared" si="1"/>
        <v>—</v>
      </c>
    </row>
    <row r="13" ht="17.25" customHeight="1">
      <c r="A13" s="5" t="s">
        <v>477</v>
      </c>
      <c r="B13" s="6" t="s">
        <v>1359</v>
      </c>
      <c r="C13" s="16">
        <f>COUNTIF('I2 Casos de prueba'!$C$5:$C$28,A13)</f>
        <v>1</v>
      </c>
      <c r="D13" s="16">
        <f>COUNTIFS('I2 Casos de prueba'!$C$5:$C$28,A13,'I2 Casos de prueba'!$K$5:$K$28,"Aprobado")</f>
        <v>0</v>
      </c>
      <c r="E13" s="16">
        <f>COUNTIFS('I2 Casos de prueba'!$C$5:$C$28,A13,'I2 Casos de prueba'!$K$5:$K$28,"Fallido")</f>
        <v>0</v>
      </c>
      <c r="F13" s="16">
        <f>COUNTIFS('I2 Casos de prueba'!$C$5:$C$28,A13,'I2 Casos de prueba'!$K$5:$K$28,"Pendiente")</f>
        <v>1</v>
      </c>
      <c r="G13" s="16">
        <f>COUNTIFS('I2 Casos de prueba'!$C$5:$C$28,A13,'I2 Casos de prueba'!$K$5:$K$28,"Anulado")</f>
        <v>0</v>
      </c>
      <c r="H13" s="90" t="str">
        <f t="shared" si="1"/>
        <v>—</v>
      </c>
    </row>
    <row r="14" ht="17.25" customHeight="1">
      <c r="A14" s="10" t="s">
        <v>489</v>
      </c>
      <c r="B14" s="11" t="s">
        <v>1368</v>
      </c>
      <c r="C14" s="24">
        <f>COUNTIF('I2 Casos de prueba'!$C$5:$C$28,A14)</f>
        <v>1</v>
      </c>
      <c r="D14" s="24">
        <f>COUNTIFS('I2 Casos de prueba'!$C$5:$C$28,A14,'I2 Casos de prueba'!$K$5:$K$28,"Aprobado")</f>
        <v>0</v>
      </c>
      <c r="E14" s="24">
        <f>COUNTIFS('I2 Casos de prueba'!$C$5:$C$28,A14,'I2 Casos de prueba'!$K$5:$K$28,"Fallido")</f>
        <v>0</v>
      </c>
      <c r="F14" s="24">
        <f>COUNTIFS('I2 Casos de prueba'!$C$5:$C$28,A14,'I2 Casos de prueba'!$K$5:$K$28,"Pendiente")</f>
        <v>1</v>
      </c>
      <c r="G14" s="24">
        <f>COUNTIFS('I2 Casos de prueba'!$C$5:$C$28,A14,'I2 Casos de prueba'!$K$5:$K$28,"Anulado")</f>
        <v>0</v>
      </c>
      <c r="H14" s="91" t="str">
        <f t="shared" si="1"/>
        <v>—</v>
      </c>
    </row>
    <row r="15" ht="17.25" customHeight="1">
      <c r="A15" s="5" t="s">
        <v>541</v>
      </c>
      <c r="B15" s="6" t="s">
        <v>1386</v>
      </c>
      <c r="C15" s="16">
        <f>COUNTIF('I2 Casos de prueba'!$C$5:$C$28,A15)</f>
        <v>1</v>
      </c>
      <c r="D15" s="16">
        <f>COUNTIFS('I2 Casos de prueba'!$C$5:$C$28,A15,'I2 Casos de prueba'!$K$5:$K$28,"Aprobado")</f>
        <v>0</v>
      </c>
      <c r="E15" s="16">
        <f>COUNTIFS('I2 Casos de prueba'!$C$5:$C$28,A15,'I2 Casos de prueba'!$K$5:$K$28,"Fallido")</f>
        <v>0</v>
      </c>
      <c r="F15" s="16">
        <f>COUNTIFS('I2 Casos de prueba'!$C$5:$C$28,A15,'I2 Casos de prueba'!$K$5:$K$28,"Pendiente")</f>
        <v>1</v>
      </c>
      <c r="G15" s="16">
        <f>COUNTIFS('I2 Casos de prueba'!$C$5:$C$28,A15,'I2 Casos de prueba'!$K$5:$K$28,"Anulado")</f>
        <v>0</v>
      </c>
      <c r="H15" s="90" t="str">
        <f t="shared" si="1"/>
        <v>—</v>
      </c>
    </row>
    <row r="16" ht="17.25" customHeight="1">
      <c r="A16" s="10" t="s">
        <v>530</v>
      </c>
      <c r="B16" s="11" t="s">
        <v>1387</v>
      </c>
      <c r="C16" s="24">
        <f>COUNTIF('I2 Casos de prueba'!$C$5:$C$28,A16)</f>
        <v>2</v>
      </c>
      <c r="D16" s="24">
        <f>COUNTIFS('I2 Casos de prueba'!$C$5:$C$28,A16,'I2 Casos de prueba'!$K$5:$K$28,"Aprobado")</f>
        <v>0</v>
      </c>
      <c r="E16" s="24">
        <f>COUNTIFS('I2 Casos de prueba'!$C$5:$C$28,A16,'I2 Casos de prueba'!$K$5:$K$28,"Fallido")</f>
        <v>0</v>
      </c>
      <c r="F16" s="24">
        <f>COUNTIFS('I2 Casos de prueba'!$C$5:$C$28,A16,'I2 Casos de prueba'!$K$5:$K$28,"Pendiente")</f>
        <v>2</v>
      </c>
      <c r="G16" s="24">
        <f>COUNTIFS('I2 Casos de prueba'!$C$5:$C$28,A16,'I2 Casos de prueba'!$K$5:$K$28,"Anulado")</f>
        <v>0</v>
      </c>
      <c r="H16" s="91" t="str">
        <f t="shared" si="1"/>
        <v>—</v>
      </c>
    </row>
    <row r="17" ht="17.25" customHeight="1">
      <c r="A17" s="5" t="s">
        <v>441</v>
      </c>
      <c r="B17" s="6" t="s">
        <v>1393</v>
      </c>
      <c r="C17" s="16">
        <f>COUNTIF('I2 Casos de prueba'!$C$5:$C$28,A17)</f>
        <v>1</v>
      </c>
      <c r="D17" s="16">
        <f>COUNTIFS('I2 Casos de prueba'!$C$5:$C$28,A17,'I2 Casos de prueba'!$K$5:$K$28,"Aprobado")</f>
        <v>1</v>
      </c>
      <c r="E17" s="16">
        <f>COUNTIFS('I2 Casos de prueba'!$C$5:$C$28,A17,'I2 Casos de prueba'!$K$5:$K$28,"Fallido")</f>
        <v>0</v>
      </c>
      <c r="F17" s="16">
        <f>COUNTIFS('I2 Casos de prueba'!$C$5:$C$28,A17,'I2 Casos de prueba'!$K$5:$K$28,"Pendiente")</f>
        <v>0</v>
      </c>
      <c r="G17" s="16">
        <f>COUNTIFS('I2 Casos de prueba'!$C$5:$C$28,A17,'I2 Casos de prueba'!$K$5:$K$28,"Anulado")</f>
        <v>0</v>
      </c>
      <c r="H17" s="90">
        <f t="shared" si="1"/>
        <v>1</v>
      </c>
    </row>
    <row r="18" ht="17.25" customHeight="1">
      <c r="A18" s="19" t="s">
        <v>260</v>
      </c>
      <c r="B18" s="21"/>
      <c r="C18" s="25">
        <f t="shared" ref="C18:G18" si="2">SUM(C5:C17)</f>
        <v>24</v>
      </c>
      <c r="D18" s="25">
        <f t="shared" si="2"/>
        <v>7</v>
      </c>
      <c r="E18" s="25">
        <f t="shared" si="2"/>
        <v>1</v>
      </c>
      <c r="F18" s="25">
        <f t="shared" si="2"/>
        <v>15</v>
      </c>
      <c r="G18" s="25">
        <f t="shared" si="2"/>
        <v>1</v>
      </c>
      <c r="H18" s="92">
        <f t="shared" si="1"/>
        <v>0.875</v>
      </c>
    </row>
    <row r="20" ht="18.0" customHeight="1">
      <c r="B20" s="27" t="s">
        <v>1394</v>
      </c>
    </row>
    <row r="21" ht="18.75" customHeight="1">
      <c r="B21" s="3" t="s">
        <v>1395</v>
      </c>
      <c r="C21" s="3" t="s">
        <v>1396</v>
      </c>
      <c r="D21" s="3" t="s">
        <v>1397</v>
      </c>
    </row>
    <row r="22" ht="17.25" customHeight="1">
      <c r="B22" s="6" t="s">
        <v>1398</v>
      </c>
      <c r="C22" s="90">
        <v>1.0</v>
      </c>
      <c r="D22" s="90">
        <f>COUNTIFS('I2 Casos de prueba'!$E$5:$E$28,"Sí",'I2 Casos de prueba'!$K$5:$K$28,"Aprobado")/COUNTIFS('I2 Casos de prueba'!$E$5:$E$28,"Sí",'I2 Casos de prueba'!$K$5:$K$28,"&lt;&gt;Anulado")</f>
        <v>0.3571428571</v>
      </c>
    </row>
    <row r="23" ht="30.75" customHeight="1">
      <c r="B23" s="11" t="s">
        <v>1399</v>
      </c>
      <c r="C23" s="24" t="s">
        <v>1400</v>
      </c>
      <c r="D23" s="91">
        <f>COUNTIF('I2 Casos de prueba'!$K$5:$K$28,"Aprobado")/COUNTIF('I2 Casos de prueba'!$K$5:$K$28,"&lt;&gt;Anulado")</f>
        <v>0.3043478261</v>
      </c>
    </row>
    <row r="24" ht="30.75" customHeight="1">
      <c r="B24" s="6" t="s">
        <v>1401</v>
      </c>
      <c r="C24" s="16" t="s">
        <v>1402</v>
      </c>
      <c r="D24" s="16">
        <f>COUNTIFS('I5 Defectos'!$E$5:$E$11,"Crítica",'I5 Defectos'!$L$5:$L$11,"Abierto")+COUNTIFS('I5 Defectos'!$E$5:$E$11,"Crítica",'I5 Defectos'!$L$5:$L$11,"Corregido")+COUNTIFS('I5 Defectos'!$E$5:$E$11,"Alta",'I5 Defectos'!$L$5:$L$11,"Abierto")+COUNTIFS('I5 Defectos'!$E$5:$E$11,"Alta",'I5 Defectos'!$L$5:$L$11,"Corregido")</f>
        <v>2</v>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8:B18"/>
  </mergeCells>
  <printOptions/>
  <pageMargins bottom="0.5" footer="0.0" header="0.0" left="0.4" right="0.4" top="0.5"/>
  <pageSetup fitToHeight="0"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4.0"/>
    <col customWidth="1" min="2" max="2" width="18.0"/>
    <col customWidth="1" min="3" max="3" width="32.0"/>
    <col customWidth="1" min="4" max="4" width="26.0"/>
    <col customWidth="1" min="5" max="5" width="34.0"/>
    <col customWidth="1" min="6" max="6" width="30.0"/>
    <col customWidth="1" min="7" max="7" width="11.0"/>
    <col customWidth="1" min="8" max="8" width="7.0"/>
  </cols>
  <sheetData>
    <row r="1" ht="18.0" customHeight="1">
      <c r="A1" s="1" t="s">
        <v>220</v>
      </c>
    </row>
    <row r="2">
      <c r="A2" s="2"/>
    </row>
    <row r="4" ht="18.75" customHeight="1">
      <c r="A4" s="3" t="s">
        <v>966</v>
      </c>
      <c r="B4" s="3" t="s">
        <v>1180</v>
      </c>
      <c r="C4" s="3" t="s">
        <v>1298</v>
      </c>
      <c r="D4" s="3" t="s">
        <v>1299</v>
      </c>
      <c r="E4" s="3" t="s">
        <v>1300</v>
      </c>
      <c r="F4" s="3" t="s">
        <v>1184</v>
      </c>
      <c r="G4" s="3" t="s">
        <v>339</v>
      </c>
      <c r="H4" s="3" t="s">
        <v>637</v>
      </c>
    </row>
    <row r="5" ht="43.5" customHeight="1">
      <c r="A5" s="5" t="s">
        <v>1197</v>
      </c>
      <c r="B5" s="6" t="s">
        <v>1301</v>
      </c>
      <c r="C5" s="6" t="s">
        <v>1302</v>
      </c>
      <c r="D5" s="6" t="s">
        <v>1303</v>
      </c>
      <c r="E5" s="6" t="s">
        <v>1304</v>
      </c>
      <c r="F5" s="6"/>
      <c r="G5" s="16" t="s">
        <v>1047</v>
      </c>
      <c r="H5" s="16">
        <v>7.0</v>
      </c>
    </row>
    <row r="6" ht="30.75" customHeight="1">
      <c r="A6" s="10" t="s">
        <v>1305</v>
      </c>
      <c r="B6" s="11" t="s">
        <v>1306</v>
      </c>
      <c r="C6" s="11" t="s">
        <v>1307</v>
      </c>
      <c r="D6" s="11" t="s">
        <v>1308</v>
      </c>
      <c r="E6" s="11" t="s">
        <v>1309</v>
      </c>
      <c r="F6" s="11"/>
      <c r="G6" s="24" t="s">
        <v>1047</v>
      </c>
      <c r="H6" s="24">
        <v>7.0</v>
      </c>
    </row>
    <row r="7" ht="30.75" customHeight="1">
      <c r="A7" s="5" t="s">
        <v>1311</v>
      </c>
      <c r="B7" s="6" t="s">
        <v>1306</v>
      </c>
      <c r="C7" s="6" t="s">
        <v>1312</v>
      </c>
      <c r="D7" s="6" t="s">
        <v>1308</v>
      </c>
      <c r="E7" s="6" t="s">
        <v>1313</v>
      </c>
      <c r="F7" s="6"/>
      <c r="G7" s="16" t="s">
        <v>1047</v>
      </c>
      <c r="H7" s="16">
        <v>7.0</v>
      </c>
    </row>
    <row r="8" ht="43.5" customHeight="1">
      <c r="A8" s="10" t="s">
        <v>1314</v>
      </c>
      <c r="B8" s="11" t="s">
        <v>1315</v>
      </c>
      <c r="C8" s="11" t="s">
        <v>1316</v>
      </c>
      <c r="D8" s="11" t="s">
        <v>1317</v>
      </c>
      <c r="E8" s="11" t="s">
        <v>1318</v>
      </c>
      <c r="F8" s="11"/>
      <c r="G8" s="24" t="s">
        <v>1047</v>
      </c>
      <c r="H8" s="24">
        <v>7.0</v>
      </c>
    </row>
    <row r="9" ht="30.75" customHeight="1">
      <c r="A9" s="5" t="s">
        <v>1319</v>
      </c>
      <c r="B9" s="6" t="s">
        <v>1320</v>
      </c>
      <c r="C9" s="6" t="s">
        <v>1321</v>
      </c>
      <c r="D9" s="6" t="s">
        <v>1322</v>
      </c>
      <c r="E9" s="6" t="s">
        <v>1323</v>
      </c>
      <c r="F9" s="6"/>
      <c r="G9" s="16" t="s">
        <v>1047</v>
      </c>
      <c r="H9" s="16">
        <v>6.0</v>
      </c>
    </row>
    <row r="10" ht="30.75" customHeight="1">
      <c r="A10" s="10" t="s">
        <v>1324</v>
      </c>
      <c r="B10" s="11" t="s">
        <v>1325</v>
      </c>
      <c r="C10" s="11" t="s">
        <v>1326</v>
      </c>
      <c r="D10" s="11" t="s">
        <v>1327</v>
      </c>
      <c r="E10" s="11" t="s">
        <v>1328</v>
      </c>
      <c r="F10" s="11"/>
      <c r="G10" s="24" t="s">
        <v>1047</v>
      </c>
      <c r="H10" s="24">
        <v>7.0</v>
      </c>
    </row>
    <row r="11" ht="30.75" customHeight="1">
      <c r="A11" s="5" t="s">
        <v>1329</v>
      </c>
      <c r="B11" s="6" t="s">
        <v>1330</v>
      </c>
      <c r="C11" s="6" t="s">
        <v>1331</v>
      </c>
      <c r="D11" s="6" t="s">
        <v>1332</v>
      </c>
      <c r="E11" s="6" t="s">
        <v>1333</v>
      </c>
      <c r="F11" s="6" t="s">
        <v>1334</v>
      </c>
      <c r="G11" s="16" t="s">
        <v>1221</v>
      </c>
      <c r="H11" s="16">
        <v>3.0</v>
      </c>
    </row>
    <row r="12" ht="30.75" customHeight="1">
      <c r="A12" s="10" t="s">
        <v>1329</v>
      </c>
      <c r="B12" s="11" t="s">
        <v>1330</v>
      </c>
      <c r="C12" s="11" t="s">
        <v>1335</v>
      </c>
      <c r="D12" s="11" t="s">
        <v>1336</v>
      </c>
      <c r="E12" s="11" t="s">
        <v>1337</v>
      </c>
      <c r="F12" s="11"/>
      <c r="G12" s="24" t="s">
        <v>1047</v>
      </c>
      <c r="H12" s="24">
        <v>7.0</v>
      </c>
    </row>
    <row r="13" ht="30.75" customHeight="1">
      <c r="A13" s="5" t="s">
        <v>1338</v>
      </c>
      <c r="B13" s="6" t="s">
        <v>1339</v>
      </c>
      <c r="C13" s="6" t="s">
        <v>1340</v>
      </c>
      <c r="D13" s="6" t="s">
        <v>1341</v>
      </c>
      <c r="E13" s="6" t="s">
        <v>1342</v>
      </c>
      <c r="F13" s="6"/>
      <c r="G13" s="16" t="s">
        <v>1047</v>
      </c>
      <c r="H13" s="16">
        <v>7.0</v>
      </c>
    </row>
    <row r="14" ht="30.75" customHeight="1">
      <c r="A14" s="10" t="s">
        <v>1343</v>
      </c>
      <c r="B14" s="11" t="s">
        <v>1344</v>
      </c>
      <c r="C14" s="11" t="s">
        <v>1345</v>
      </c>
      <c r="D14" s="11" t="s">
        <v>1346</v>
      </c>
      <c r="E14" s="11" t="s">
        <v>1347</v>
      </c>
      <c r="F14" s="11"/>
      <c r="G14" s="24" t="s">
        <v>1047</v>
      </c>
      <c r="H14" s="24">
        <v>5.0</v>
      </c>
    </row>
    <row r="15" ht="30.75" customHeight="1">
      <c r="A15" s="5" t="s">
        <v>1348</v>
      </c>
      <c r="B15" s="6" t="s">
        <v>1349</v>
      </c>
      <c r="C15" s="6" t="s">
        <v>1350</v>
      </c>
      <c r="D15" s="6" t="s">
        <v>1351</v>
      </c>
      <c r="E15" s="6" t="s">
        <v>1352</v>
      </c>
      <c r="F15" s="6"/>
      <c r="G15" s="16" t="s">
        <v>1047</v>
      </c>
      <c r="H15" s="16">
        <v>7.0</v>
      </c>
    </row>
    <row r="16" ht="43.5" customHeight="1">
      <c r="A16" s="10" t="s">
        <v>1353</v>
      </c>
      <c r="B16" s="11" t="s">
        <v>466</v>
      </c>
      <c r="C16" s="11" t="s">
        <v>1354</v>
      </c>
      <c r="D16" s="11" t="s">
        <v>466</v>
      </c>
      <c r="E16" s="11" t="s">
        <v>466</v>
      </c>
      <c r="F16" s="11"/>
      <c r="G16" s="24" t="s">
        <v>1355</v>
      </c>
      <c r="H16" s="24" t="s">
        <v>466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G5:G16">
    <cfRule type="expression" dxfId="0" priority="1">
      <formula>G5="Hecho"</formula>
    </cfRule>
  </conditionalFormatting>
  <conditionalFormatting sqref="G5:G16">
    <cfRule type="expression" dxfId="0" priority="2">
      <formula>G5="Aprobado"</formula>
    </cfRule>
  </conditionalFormatting>
  <conditionalFormatting sqref="G5:G16">
    <cfRule type="expression" dxfId="0" priority="3">
      <formula>G5="Cerrado"</formula>
    </cfRule>
  </conditionalFormatting>
  <conditionalFormatting sqref="G5:G16">
    <cfRule type="expression" dxfId="0" priority="4">
      <formula>G5="Implementado"</formula>
    </cfRule>
  </conditionalFormatting>
  <conditionalFormatting sqref="G5:G16">
    <cfRule type="expression" dxfId="0" priority="5">
      <formula>G5="Terminado"</formula>
    </cfRule>
  </conditionalFormatting>
  <conditionalFormatting sqref="G5:G16">
    <cfRule type="expression" dxfId="0" priority="6">
      <formula>G5="Aplicado"</formula>
    </cfRule>
  </conditionalFormatting>
  <conditionalFormatting sqref="G5:G16">
    <cfRule type="expression" dxfId="0" priority="7">
      <formula>G5="A"</formula>
    </cfRule>
  </conditionalFormatting>
  <conditionalFormatting sqref="G5:G16">
    <cfRule type="expression" dxfId="1" priority="8">
      <formula>G5="En curso"</formula>
    </cfRule>
  </conditionalFormatting>
  <conditionalFormatting sqref="G5:G16">
    <cfRule type="expression" dxfId="1" priority="9">
      <formula>G5="Pendiente"</formula>
    </cfRule>
  </conditionalFormatting>
  <conditionalFormatting sqref="G5:G16">
    <cfRule type="expression" dxfId="1" priority="10">
      <formula>G5="Corregido"</formula>
    </cfRule>
  </conditionalFormatting>
  <conditionalFormatting sqref="G5:G16">
    <cfRule type="expression" dxfId="1" priority="11">
      <formula>G5="En desarrollo"</formula>
    </cfRule>
  </conditionalFormatting>
  <conditionalFormatting sqref="G5:G16">
    <cfRule type="expression" dxfId="1" priority="12">
      <formula>G5="En evaluación"</formula>
    </cfRule>
  </conditionalFormatting>
  <conditionalFormatting sqref="G5:G16">
    <cfRule type="expression" dxfId="1" priority="13">
      <formula>G5="En ejecución"</formula>
    </cfRule>
  </conditionalFormatting>
  <conditionalFormatting sqref="G5:G16">
    <cfRule type="expression" dxfId="1" priority="14">
      <formula>G5="Prueba de concepto"</formula>
    </cfRule>
  </conditionalFormatting>
  <conditionalFormatting sqref="G5:G16">
    <cfRule type="expression" dxfId="2" priority="15">
      <formula>G5="Por hacer"</formula>
    </cfRule>
  </conditionalFormatting>
  <conditionalFormatting sqref="G5:G16">
    <cfRule type="expression" dxfId="2" priority="16">
      <formula>G5="Planificado"</formula>
    </cfRule>
  </conditionalFormatting>
  <conditionalFormatting sqref="G5:G16">
    <cfRule type="expression" dxfId="2" priority="17">
      <formula>G5="Diseñado"</formula>
    </cfRule>
  </conditionalFormatting>
  <conditionalFormatting sqref="G5:G16">
    <cfRule type="expression" dxfId="3" priority="18">
      <formula>G5="Fallido"</formula>
    </cfRule>
  </conditionalFormatting>
  <conditionalFormatting sqref="G5:G16">
    <cfRule type="expression" dxfId="3" priority="19">
      <formula>G5="Abierto"</formula>
    </cfRule>
  </conditionalFormatting>
  <conditionalFormatting sqref="G5:G16">
    <cfRule type="expression" dxfId="3" priority="20">
      <formula>G5="R"</formula>
    </cfRule>
  </conditionalFormatting>
  <conditionalFormatting sqref="G5:G16">
    <cfRule type="expression" dxfId="4" priority="21">
      <formula>G5="Anulado"</formula>
    </cfRule>
  </conditionalFormatting>
  <conditionalFormatting sqref="G5:G16">
    <cfRule type="expression" dxfId="4" priority="22">
      <formula>G5="Descartada"</formula>
    </cfRule>
  </conditionalFormatting>
  <conditionalFormatting sqref="G5:G16">
    <cfRule type="expression" dxfId="4" priority="23">
      <formula>G5="No aplica"</formula>
    </cfRule>
  </conditionalFormatting>
  <dataValidations>
    <dataValidation type="list" allowBlank="1" sqref="G5:G16">
      <formula1>"Pendiente,Aprobado,Fallido,No aplica"</formula1>
    </dataValidation>
  </dataValidations>
  <printOptions/>
  <pageMargins bottom="0.5" footer="0.0" header="0.0" left="0.4" right="0.4" top="0.5"/>
  <pageSetup fitToHeight="0"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40.0"/>
    <col customWidth="1" min="3" max="4" width="8.0"/>
    <col customWidth="1" min="5" max="5" width="10.0"/>
    <col customWidth="1" min="6" max="6" width="9.0"/>
    <col customWidth="1" min="7" max="7" width="10.0"/>
    <col customWidth="1" min="8" max="8" width="18.0"/>
    <col customWidth="1" min="9" max="9" width="38.0"/>
    <col customWidth="1" min="10" max="10" width="26.0"/>
    <col customWidth="1" min="11" max="11" width="8.0"/>
    <col customWidth="1" min="12" max="12" width="11.0"/>
  </cols>
  <sheetData>
    <row r="1" ht="18.0" customHeight="1">
      <c r="A1" s="1" t="s">
        <v>226</v>
      </c>
    </row>
    <row r="2" ht="14.25" customHeight="1">
      <c r="A2" s="2"/>
    </row>
    <row r="4" ht="31.5" customHeight="1">
      <c r="A4" s="3" t="s">
        <v>7</v>
      </c>
      <c r="B4" s="3" t="s">
        <v>1185</v>
      </c>
      <c r="C4" s="3" t="s">
        <v>1183</v>
      </c>
      <c r="D4" s="3" t="s">
        <v>1181</v>
      </c>
      <c r="E4" s="3" t="s">
        <v>1360</v>
      </c>
      <c r="F4" s="3" t="s">
        <v>332</v>
      </c>
      <c r="G4" s="3" t="s">
        <v>944</v>
      </c>
      <c r="H4" s="3" t="s">
        <v>97</v>
      </c>
      <c r="I4" s="3" t="s">
        <v>1361</v>
      </c>
      <c r="J4" s="3" t="s">
        <v>1362</v>
      </c>
      <c r="K4" s="3" t="s">
        <v>948</v>
      </c>
      <c r="L4" s="3" t="s">
        <v>339</v>
      </c>
    </row>
    <row r="5" ht="30.75" customHeight="1">
      <c r="A5" s="5" t="s">
        <v>1246</v>
      </c>
      <c r="B5" s="6" t="s">
        <v>1363</v>
      </c>
      <c r="C5" s="16" t="s">
        <v>1240</v>
      </c>
      <c r="D5" s="16" t="s">
        <v>392</v>
      </c>
      <c r="E5" s="16" t="s">
        <v>559</v>
      </c>
      <c r="F5" s="16" t="s">
        <v>559</v>
      </c>
      <c r="G5" s="68">
        <v>46293.0</v>
      </c>
      <c r="H5" s="6" t="s">
        <v>30</v>
      </c>
      <c r="I5" s="6" t="s">
        <v>1364</v>
      </c>
      <c r="J5" s="6" t="s">
        <v>1365</v>
      </c>
      <c r="K5" s="68"/>
      <c r="L5" s="16" t="s">
        <v>1366</v>
      </c>
    </row>
    <row r="6" ht="30.75" customHeight="1">
      <c r="A6" s="10" t="s">
        <v>1251</v>
      </c>
      <c r="B6" s="11" t="s">
        <v>1367</v>
      </c>
      <c r="C6" s="24" t="s">
        <v>1247</v>
      </c>
      <c r="D6" s="24" t="s">
        <v>392</v>
      </c>
      <c r="E6" s="24" t="s">
        <v>559</v>
      </c>
      <c r="F6" s="24" t="s">
        <v>559</v>
      </c>
      <c r="G6" s="70">
        <v>46293.0</v>
      </c>
      <c r="H6" s="11" t="s">
        <v>30</v>
      </c>
      <c r="I6" s="11" t="s">
        <v>1369</v>
      </c>
      <c r="J6" s="11" t="s">
        <v>1370</v>
      </c>
      <c r="K6" s="70"/>
      <c r="L6" s="24" t="s">
        <v>1366</v>
      </c>
    </row>
    <row r="7" ht="30.75" customHeight="1">
      <c r="A7" s="5" t="s">
        <v>1371</v>
      </c>
      <c r="B7" s="6" t="s">
        <v>1372</v>
      </c>
      <c r="C7" s="16" t="s">
        <v>1240</v>
      </c>
      <c r="D7" s="16" t="s">
        <v>392</v>
      </c>
      <c r="E7" s="16" t="s">
        <v>552</v>
      </c>
      <c r="F7" s="16" t="s">
        <v>552</v>
      </c>
      <c r="G7" s="68">
        <v>46293.0</v>
      </c>
      <c r="H7" s="6" t="s">
        <v>30</v>
      </c>
      <c r="I7" s="6" t="s">
        <v>1373</v>
      </c>
      <c r="J7" s="6" t="s">
        <v>1365</v>
      </c>
      <c r="K7" s="68"/>
      <c r="L7" s="16" t="s">
        <v>1366</v>
      </c>
    </row>
    <row r="8" ht="30.75" customHeight="1">
      <c r="A8" s="10" t="s">
        <v>1257</v>
      </c>
      <c r="B8" s="11" t="s">
        <v>1374</v>
      </c>
      <c r="C8" s="24" t="s">
        <v>1252</v>
      </c>
      <c r="D8" s="24" t="s">
        <v>376</v>
      </c>
      <c r="E8" s="24" t="s">
        <v>559</v>
      </c>
      <c r="F8" s="24" t="s">
        <v>559</v>
      </c>
      <c r="G8" s="70">
        <v>46293.0</v>
      </c>
      <c r="H8" s="11" t="s">
        <v>30</v>
      </c>
      <c r="I8" s="11" t="s">
        <v>1375</v>
      </c>
      <c r="J8" s="11" t="s">
        <v>1376</v>
      </c>
      <c r="K8" s="70">
        <v>46294.0</v>
      </c>
      <c r="L8" s="24" t="s">
        <v>961</v>
      </c>
    </row>
    <row r="9" ht="30.75" customHeight="1">
      <c r="A9" s="5" t="s">
        <v>1263</v>
      </c>
      <c r="B9" s="6" t="s">
        <v>1377</v>
      </c>
      <c r="C9" s="16" t="s">
        <v>1258</v>
      </c>
      <c r="D9" s="16" t="s">
        <v>434</v>
      </c>
      <c r="E9" s="16" t="s">
        <v>552</v>
      </c>
      <c r="F9" s="16" t="s">
        <v>546</v>
      </c>
      <c r="G9" s="68">
        <v>46293.0</v>
      </c>
      <c r="H9" s="6" t="s">
        <v>466</v>
      </c>
      <c r="I9" s="6" t="s">
        <v>1378</v>
      </c>
      <c r="J9" s="6" t="s">
        <v>1355</v>
      </c>
      <c r="K9" s="68">
        <v>46294.0</v>
      </c>
      <c r="L9" s="16" t="s">
        <v>1262</v>
      </c>
    </row>
    <row r="10" ht="30.75" customHeight="1">
      <c r="A10" s="10" t="s">
        <v>1227</v>
      </c>
      <c r="B10" s="11" t="s">
        <v>1379</v>
      </c>
      <c r="C10" s="24" t="s">
        <v>1222</v>
      </c>
      <c r="D10" s="24" t="s">
        <v>392</v>
      </c>
      <c r="E10" s="24" t="s">
        <v>1380</v>
      </c>
      <c r="F10" s="24" t="s">
        <v>559</v>
      </c>
      <c r="G10" s="70">
        <v>46293.0</v>
      </c>
      <c r="H10" s="11" t="s">
        <v>19</v>
      </c>
      <c r="I10" s="11" t="s">
        <v>1381</v>
      </c>
      <c r="J10" s="11" t="s">
        <v>1382</v>
      </c>
      <c r="K10" s="70">
        <v>46293.0</v>
      </c>
      <c r="L10" s="24" t="s">
        <v>961</v>
      </c>
    </row>
    <row r="11" ht="30.75" customHeight="1">
      <c r="A11" s="5" t="s">
        <v>1132</v>
      </c>
      <c r="B11" s="6" t="s">
        <v>1383</v>
      </c>
      <c r="C11" s="16" t="s">
        <v>466</v>
      </c>
      <c r="D11" s="16" t="s">
        <v>376</v>
      </c>
      <c r="E11" s="16" t="s">
        <v>546</v>
      </c>
      <c r="F11" s="16" t="s">
        <v>546</v>
      </c>
      <c r="G11" s="68">
        <v>46294.0</v>
      </c>
      <c r="H11" s="6" t="s">
        <v>30</v>
      </c>
      <c r="I11" s="6" t="s">
        <v>1384</v>
      </c>
      <c r="J11" s="6" t="s">
        <v>1047</v>
      </c>
      <c r="K11" s="68"/>
      <c r="L11" s="16" t="s">
        <v>953</v>
      </c>
    </row>
    <row r="13" ht="18.0" customHeight="1">
      <c r="B13" s="27" t="s">
        <v>1385</v>
      </c>
    </row>
    <row r="14" ht="31.5" customHeight="1">
      <c r="B14" s="3" t="s">
        <v>1360</v>
      </c>
      <c r="C14" s="3" t="s">
        <v>953</v>
      </c>
      <c r="D14" s="3" t="s">
        <v>1366</v>
      </c>
      <c r="E14" s="3" t="s">
        <v>961</v>
      </c>
      <c r="F14" s="3" t="s">
        <v>1262</v>
      </c>
      <c r="G14" s="3" t="s">
        <v>260</v>
      </c>
    </row>
    <row r="15" ht="17.25" customHeight="1">
      <c r="B15" s="5" t="s">
        <v>1380</v>
      </c>
      <c r="C15" s="16">
        <f t="shared" ref="C15:F15" si="1">COUNTIFS($E$5:$E$11,$B15,$L$5:$L$11,C$14)</f>
        <v>0</v>
      </c>
      <c r="D15" s="16">
        <f t="shared" si="1"/>
        <v>0</v>
      </c>
      <c r="E15" s="16">
        <f t="shared" si="1"/>
        <v>1</v>
      </c>
      <c r="F15" s="16">
        <f t="shared" si="1"/>
        <v>0</v>
      </c>
      <c r="G15" s="4">
        <f t="shared" ref="G15:G18" si="3">SUM(C15:F15)</f>
        <v>1</v>
      </c>
    </row>
    <row r="16" ht="17.25" customHeight="1">
      <c r="B16" s="10" t="s">
        <v>559</v>
      </c>
      <c r="C16" s="24">
        <f t="shared" ref="C16:F16" si="2">COUNTIFS($E$5:$E$11,$B16,$L$5:$L$11,C$14)</f>
        <v>0</v>
      </c>
      <c r="D16" s="24">
        <f t="shared" si="2"/>
        <v>2</v>
      </c>
      <c r="E16" s="24">
        <f t="shared" si="2"/>
        <v>1</v>
      </c>
      <c r="F16" s="24">
        <f t="shared" si="2"/>
        <v>0</v>
      </c>
      <c r="G16" s="9">
        <f t="shared" si="3"/>
        <v>3</v>
      </c>
    </row>
    <row r="17" ht="17.25" customHeight="1">
      <c r="B17" s="5" t="s">
        <v>552</v>
      </c>
      <c r="C17" s="16">
        <f t="shared" ref="C17:F17" si="4">COUNTIFS($E$5:$E$11,$B17,$L$5:$L$11,C$14)</f>
        <v>0</v>
      </c>
      <c r="D17" s="16">
        <f t="shared" si="4"/>
        <v>1</v>
      </c>
      <c r="E17" s="16">
        <f t="shared" si="4"/>
        <v>0</v>
      </c>
      <c r="F17" s="16">
        <f t="shared" si="4"/>
        <v>1</v>
      </c>
      <c r="G17" s="4">
        <f t="shared" si="3"/>
        <v>2</v>
      </c>
    </row>
    <row r="18" ht="17.25" customHeight="1">
      <c r="B18" s="10" t="s">
        <v>546</v>
      </c>
      <c r="C18" s="24">
        <f t="shared" ref="C18:F18" si="5">COUNTIFS($E$5:$E$11,$B18,$L$5:$L$11,C$14)</f>
        <v>1</v>
      </c>
      <c r="D18" s="24">
        <f t="shared" si="5"/>
        <v>0</v>
      </c>
      <c r="E18" s="24">
        <f t="shared" si="5"/>
        <v>0</v>
      </c>
      <c r="F18" s="24">
        <f t="shared" si="5"/>
        <v>0</v>
      </c>
      <c r="G18" s="9">
        <f t="shared" si="3"/>
        <v>1</v>
      </c>
    </row>
    <row r="21" ht="18.0" customHeight="1">
      <c r="A21" s="27" t="s">
        <v>1388</v>
      </c>
    </row>
    <row r="22" ht="18.75" customHeight="1">
      <c r="A22" s="3" t="s">
        <v>1360</v>
      </c>
      <c r="B22" s="3" t="s">
        <v>738</v>
      </c>
    </row>
    <row r="23" ht="30.75" customHeight="1">
      <c r="A23" s="5" t="s">
        <v>1380</v>
      </c>
      <c r="B23" s="6" t="s">
        <v>1389</v>
      </c>
    </row>
    <row r="24" ht="17.25" customHeight="1">
      <c r="A24" s="10" t="s">
        <v>559</v>
      </c>
      <c r="B24" s="11" t="s">
        <v>1390</v>
      </c>
    </row>
    <row r="25" ht="17.25" customHeight="1">
      <c r="A25" s="5" t="s">
        <v>552</v>
      </c>
      <c r="B25" s="6" t="s">
        <v>1391</v>
      </c>
    </row>
    <row r="26" ht="17.25" customHeight="1">
      <c r="A26" s="10" t="s">
        <v>546</v>
      </c>
      <c r="B26" s="11" t="s">
        <v>1392</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L5:L11">
    <cfRule type="expression" dxfId="0" priority="1">
      <formula>L5="Hecho"</formula>
    </cfRule>
  </conditionalFormatting>
  <conditionalFormatting sqref="L5:L11">
    <cfRule type="expression" dxfId="0" priority="2">
      <formula>L5="Aprobado"</formula>
    </cfRule>
  </conditionalFormatting>
  <conditionalFormatting sqref="L5:L11">
    <cfRule type="expression" dxfId="0" priority="3">
      <formula>L5="Cerrado"</formula>
    </cfRule>
  </conditionalFormatting>
  <conditionalFormatting sqref="L5:L11">
    <cfRule type="expression" dxfId="0" priority="4">
      <formula>L5="Implementado"</formula>
    </cfRule>
  </conditionalFormatting>
  <conditionalFormatting sqref="L5:L11">
    <cfRule type="expression" dxfId="0" priority="5">
      <formula>L5="Terminado"</formula>
    </cfRule>
  </conditionalFormatting>
  <conditionalFormatting sqref="L5:L11">
    <cfRule type="expression" dxfId="0" priority="6">
      <formula>L5="Aplicado"</formula>
    </cfRule>
  </conditionalFormatting>
  <conditionalFormatting sqref="L5:L11">
    <cfRule type="expression" dxfId="0" priority="7">
      <formula>L5="A"</formula>
    </cfRule>
  </conditionalFormatting>
  <conditionalFormatting sqref="L5:L11">
    <cfRule type="expression" dxfId="1" priority="8">
      <formula>L5="En curso"</formula>
    </cfRule>
  </conditionalFormatting>
  <conditionalFormatting sqref="L5:L11">
    <cfRule type="expression" dxfId="1" priority="9">
      <formula>L5="Pendiente"</formula>
    </cfRule>
  </conditionalFormatting>
  <conditionalFormatting sqref="L5:L11">
    <cfRule type="expression" dxfId="1" priority="10">
      <formula>L5="Corregido"</formula>
    </cfRule>
  </conditionalFormatting>
  <conditionalFormatting sqref="L5:L11">
    <cfRule type="expression" dxfId="1" priority="11">
      <formula>L5="En desarrollo"</formula>
    </cfRule>
  </conditionalFormatting>
  <conditionalFormatting sqref="L5:L11">
    <cfRule type="expression" dxfId="1" priority="12">
      <formula>L5="En evaluación"</formula>
    </cfRule>
  </conditionalFormatting>
  <conditionalFormatting sqref="L5:L11">
    <cfRule type="expression" dxfId="1" priority="13">
      <formula>L5="En ejecución"</formula>
    </cfRule>
  </conditionalFormatting>
  <conditionalFormatting sqref="L5:L11">
    <cfRule type="expression" dxfId="1" priority="14">
      <formula>L5="Prueba de concepto"</formula>
    </cfRule>
  </conditionalFormatting>
  <conditionalFormatting sqref="L5:L11">
    <cfRule type="expression" dxfId="2" priority="15">
      <formula>L5="Por hacer"</formula>
    </cfRule>
  </conditionalFormatting>
  <conditionalFormatting sqref="L5:L11">
    <cfRule type="expression" dxfId="2" priority="16">
      <formula>L5="Planificado"</formula>
    </cfRule>
  </conditionalFormatting>
  <conditionalFormatting sqref="L5:L11">
    <cfRule type="expression" dxfId="2" priority="17">
      <formula>L5="Diseñado"</formula>
    </cfRule>
  </conditionalFormatting>
  <conditionalFormatting sqref="L5:L11">
    <cfRule type="expression" dxfId="3" priority="18">
      <formula>L5="Fallido"</formula>
    </cfRule>
  </conditionalFormatting>
  <conditionalFormatting sqref="L5:L11">
    <cfRule type="expression" dxfId="3" priority="19">
      <formula>L5="Abierto"</formula>
    </cfRule>
  </conditionalFormatting>
  <conditionalFormatting sqref="L5:L11">
    <cfRule type="expression" dxfId="3" priority="20">
      <formula>L5="R"</formula>
    </cfRule>
  </conditionalFormatting>
  <conditionalFormatting sqref="L5:L11">
    <cfRule type="expression" dxfId="4" priority="21">
      <formula>L5="Anulado"</formula>
    </cfRule>
  </conditionalFormatting>
  <conditionalFormatting sqref="L5:L11">
    <cfRule type="expression" dxfId="4" priority="22">
      <formula>L5="Descartada"</formula>
    </cfRule>
  </conditionalFormatting>
  <conditionalFormatting sqref="L5:L11">
    <cfRule type="expression" dxfId="4" priority="23">
      <formula>L5="No aplica"</formula>
    </cfRule>
  </conditionalFormatting>
  <dataValidations>
    <dataValidation type="list" allowBlank="1" sqref="E5:E11">
      <formula1>"Crítica,Alta,Media,Baja"</formula1>
    </dataValidation>
    <dataValidation type="list" allowBlank="1" sqref="L5:L11">
      <formula1>"Abierto,Corregido,Cerrado,Anulado"</formula1>
    </dataValidation>
  </dataValidations>
  <printOptions/>
  <pageMargins bottom="0.5" footer="0.0" header="0.0" left="0.4" right="0.4" top="0.5"/>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2026-09-30T12:40:54Z</dcterms:created>
  <dc:creator>openpyxl</dc:creator>
</cp:coreProperties>
</file>